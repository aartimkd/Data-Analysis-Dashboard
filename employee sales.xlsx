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4.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5.xml" ContentType="application/vnd.openxmlformats-officedocument.drawingml.chartshapes+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defaultThemeVersion="202300"/>
  <mc:AlternateContent xmlns:mc="http://schemas.openxmlformats.org/markup-compatibility/2006">
    <mc:Choice Requires="x15">
      <x15ac:absPath xmlns:x15ac="http://schemas.microsoft.com/office/spreadsheetml/2010/11/ac" url="C:\Users\aarat\Downloads\"/>
    </mc:Choice>
  </mc:AlternateContent>
  <xr:revisionPtr revIDLastSave="0" documentId="8_{19A322C8-E283-40C3-BB54-96894E3305F1}" xr6:coauthVersionLast="47" xr6:coauthVersionMax="47" xr10:uidLastSave="{00000000-0000-0000-0000-000000000000}"/>
  <bookViews>
    <workbookView xWindow="-108" yWindow="-108" windowWidth="23256" windowHeight="12456" xr2:uid="{5A2C0D8D-6254-472D-A557-A6450C79AD34}"/>
  </bookViews>
  <sheets>
    <sheet name="Sales Raw Data" sheetId="2" r:id="rId1"/>
    <sheet name="KPI" sheetId="1" r:id="rId2"/>
    <sheet name="Graphs" sheetId="4" r:id="rId3"/>
    <sheet name="Dashboard" sheetId="3" r:id="rId4"/>
  </sheets>
  <definedNames>
    <definedName name="ExternalData_1" localSheetId="0" hidden="1">'Sales Raw Data'!$A$1:$I$1304</definedName>
    <definedName name="Slicer_Date">#N/A</definedName>
    <definedName name="Slicer_Item">#N/A</definedName>
    <definedName name="Slicer_Sales_Representive">#N/A</definedName>
    <definedName name="Slicer_State">#N/A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M5" i="3" l="1"/>
  <c r="G5" i="3"/>
  <c r="L4" i="1"/>
  <c r="P5" i="3" s="1"/>
  <c r="A5" i="3"/>
  <c r="D5" i="3"/>
  <c r="G3" i="1"/>
  <c r="C12" i="1"/>
  <c r="J5" i="3"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3B7B0C6-AEEA-44FB-856D-A5A9D1777E48}" keepAlive="1" name="Query - Sales Raw Data" description="Connection to the 'Sales Raw Data' query in the workbook." type="5" refreshedVersion="8" background="1" saveData="1">
    <dbPr connection="Provider=Microsoft.Mashup.OleDb.1;Data Source=$Workbook$;Location=&quot;Sales Raw Data&quot;;Extended Properties=&quot;&quot;" command="SELECT * FROM [Sales Raw Data]"/>
  </connection>
</connections>
</file>

<file path=xl/sharedStrings.xml><?xml version="1.0" encoding="utf-8"?>
<sst xmlns="http://schemas.openxmlformats.org/spreadsheetml/2006/main" count="5272" uniqueCount="1356">
  <si>
    <t>EMPID</t>
  </si>
  <si>
    <t>Sales Representive</t>
  </si>
  <si>
    <t>Date</t>
  </si>
  <si>
    <t>Item</t>
  </si>
  <si>
    <t>Quantity</t>
  </si>
  <si>
    <t>Price</t>
  </si>
  <si>
    <t>Commission</t>
  </si>
  <si>
    <t>State</t>
  </si>
  <si>
    <t>EMP-ID-1</t>
  </si>
  <si>
    <t>John</t>
  </si>
  <si>
    <t>Printer</t>
  </si>
  <si>
    <t>Meghalaya</t>
  </si>
  <si>
    <t>EMP-ID-2</t>
  </si>
  <si>
    <t>Mark</t>
  </si>
  <si>
    <t>White Board</t>
  </si>
  <si>
    <t>Uttar Pradesh</t>
  </si>
  <si>
    <t>EMP-ID-3</t>
  </si>
  <si>
    <t>Office Chair</t>
  </si>
  <si>
    <t>Maharashtra</t>
  </si>
  <si>
    <t>EMP-ID-4</t>
  </si>
  <si>
    <t>Kashmir</t>
  </si>
  <si>
    <t>EMP-ID-5</t>
  </si>
  <si>
    <t>Laura</t>
  </si>
  <si>
    <t>West Bengal</t>
  </si>
  <si>
    <t>EMP-ID-6</t>
  </si>
  <si>
    <t>Stacey</t>
  </si>
  <si>
    <t>Bihar</t>
  </si>
  <si>
    <t>EMP-ID-7</t>
  </si>
  <si>
    <t>Bob</t>
  </si>
  <si>
    <t>Diary</t>
  </si>
  <si>
    <t>Goa</t>
  </si>
  <si>
    <t>EMP-ID-8</t>
  </si>
  <si>
    <t>Projector</t>
  </si>
  <si>
    <t>Karnataka</t>
  </si>
  <si>
    <t>EMP-ID-9</t>
  </si>
  <si>
    <t>Gujarat</t>
  </si>
  <si>
    <t>EMP-ID-10</t>
  </si>
  <si>
    <t>Jharkhand</t>
  </si>
  <si>
    <t>EMP-ID-11</t>
  </si>
  <si>
    <t>Haryana</t>
  </si>
  <si>
    <t>EMP-ID-12</t>
  </si>
  <si>
    <t>Kerala</t>
  </si>
  <si>
    <t>EMP-ID-13</t>
  </si>
  <si>
    <t>EMP-ID-14</t>
  </si>
  <si>
    <t>EMP-ID-15</t>
  </si>
  <si>
    <t>EMP-ID-16</t>
  </si>
  <si>
    <t>Delhi</t>
  </si>
  <si>
    <t>EMP-ID-17</t>
  </si>
  <si>
    <t>EMP-ID-18</t>
  </si>
  <si>
    <t>EMP-ID-19</t>
  </si>
  <si>
    <t>EMP-ID-20</t>
  </si>
  <si>
    <t>EMP-ID-21</t>
  </si>
  <si>
    <t>EMP-ID-22</t>
  </si>
  <si>
    <t>EMP-ID-23</t>
  </si>
  <si>
    <t>EMP-ID-24</t>
  </si>
  <si>
    <t>EMP-ID-25</t>
  </si>
  <si>
    <t>EMP-ID-26</t>
  </si>
  <si>
    <t>EMP-ID-27</t>
  </si>
  <si>
    <t>EMP-ID-28</t>
  </si>
  <si>
    <t>EMP-ID-29</t>
  </si>
  <si>
    <t>EMP-ID-30</t>
  </si>
  <si>
    <t>EMP-ID-31</t>
  </si>
  <si>
    <t>EMP-ID-32</t>
  </si>
  <si>
    <t>EMP-ID-33</t>
  </si>
  <si>
    <t>EMP-ID-34</t>
  </si>
  <si>
    <t>EMP-ID-35</t>
  </si>
  <si>
    <t>EMP-ID-36</t>
  </si>
  <si>
    <t>EMP-ID-37</t>
  </si>
  <si>
    <t>EMP-ID-38</t>
  </si>
  <si>
    <t>EMP-ID-39</t>
  </si>
  <si>
    <t>EMP-ID-40</t>
  </si>
  <si>
    <t>EMP-ID-41</t>
  </si>
  <si>
    <t>EMP-ID-42</t>
  </si>
  <si>
    <t>EMP-ID-43</t>
  </si>
  <si>
    <t>EMP-ID-44</t>
  </si>
  <si>
    <t>EMP-ID-45</t>
  </si>
  <si>
    <t>EMP-ID-46</t>
  </si>
  <si>
    <t>EMP-ID-47</t>
  </si>
  <si>
    <t>EMP-ID-48</t>
  </si>
  <si>
    <t>EMP-ID-49</t>
  </si>
  <si>
    <t>EMP-ID-50</t>
  </si>
  <si>
    <t>EMP-ID-51</t>
  </si>
  <si>
    <t>EMP-ID-52</t>
  </si>
  <si>
    <t>EMP-ID-53</t>
  </si>
  <si>
    <t>EMP-ID-54</t>
  </si>
  <si>
    <t>EMP-ID-55</t>
  </si>
  <si>
    <t>EMP-ID-56</t>
  </si>
  <si>
    <t>EMP-ID-57</t>
  </si>
  <si>
    <t>EMP-ID-58</t>
  </si>
  <si>
    <t>EMP-ID-59</t>
  </si>
  <si>
    <t>EMP-ID-60</t>
  </si>
  <si>
    <t>EMP-ID-61</t>
  </si>
  <si>
    <t>EMP-ID-62</t>
  </si>
  <si>
    <t>EMP-ID-63</t>
  </si>
  <si>
    <t>EMP-ID-64</t>
  </si>
  <si>
    <t>EMP-ID-65</t>
  </si>
  <si>
    <t>EMP-ID-66</t>
  </si>
  <si>
    <t>EMP-ID-67</t>
  </si>
  <si>
    <t>EMP-ID-68</t>
  </si>
  <si>
    <t>EMP-ID-69</t>
  </si>
  <si>
    <t>EMP-ID-70</t>
  </si>
  <si>
    <t>EMP-ID-71</t>
  </si>
  <si>
    <t>EMP-ID-72</t>
  </si>
  <si>
    <t>EMP-ID-73</t>
  </si>
  <si>
    <t>EMP-ID-74</t>
  </si>
  <si>
    <t>EMP-ID-75</t>
  </si>
  <si>
    <t>EMP-ID-76</t>
  </si>
  <si>
    <t>EMP-ID-77</t>
  </si>
  <si>
    <t>EMP-ID-78</t>
  </si>
  <si>
    <t>EMP-ID-79</t>
  </si>
  <si>
    <t>EMP-ID-80</t>
  </si>
  <si>
    <t>EMP-ID-81</t>
  </si>
  <si>
    <t>EMP-ID-82</t>
  </si>
  <si>
    <t>EMP-ID-83</t>
  </si>
  <si>
    <t>EMP-ID-84</t>
  </si>
  <si>
    <t>EMP-ID-85</t>
  </si>
  <si>
    <t>EMP-ID-86</t>
  </si>
  <si>
    <t>EMP-ID-87</t>
  </si>
  <si>
    <t>EMP-ID-88</t>
  </si>
  <si>
    <t>EMP-ID-89</t>
  </si>
  <si>
    <t>EMP-ID-90</t>
  </si>
  <si>
    <t>EMP-ID-91</t>
  </si>
  <si>
    <t>EMP-ID-92</t>
  </si>
  <si>
    <t>EMP-ID-93</t>
  </si>
  <si>
    <t>EMP-ID-94</t>
  </si>
  <si>
    <t>EMP-ID-95</t>
  </si>
  <si>
    <t>EMP-ID-96</t>
  </si>
  <si>
    <t>EMP-ID-97</t>
  </si>
  <si>
    <t>EMP-ID-98</t>
  </si>
  <si>
    <t>EMP-ID-99</t>
  </si>
  <si>
    <t>EMP-ID-100</t>
  </si>
  <si>
    <t>EMP-ID-101</t>
  </si>
  <si>
    <t>EMP-ID-102</t>
  </si>
  <si>
    <t>EMP-ID-103</t>
  </si>
  <si>
    <t>EMP-ID-104</t>
  </si>
  <si>
    <t>EMP-ID-105</t>
  </si>
  <si>
    <t>EMP-ID-106</t>
  </si>
  <si>
    <t>EMP-ID-107</t>
  </si>
  <si>
    <t>EMP-ID-108</t>
  </si>
  <si>
    <t>EMP-ID-109</t>
  </si>
  <si>
    <t>EMP-ID-110</t>
  </si>
  <si>
    <t>EMP-ID-111</t>
  </si>
  <si>
    <t>EMP-ID-112</t>
  </si>
  <si>
    <t>EMP-ID-113</t>
  </si>
  <si>
    <t>EMP-ID-114</t>
  </si>
  <si>
    <t>EMP-ID-115</t>
  </si>
  <si>
    <t>EMP-ID-116</t>
  </si>
  <si>
    <t>EMP-ID-117</t>
  </si>
  <si>
    <t>EMP-ID-118</t>
  </si>
  <si>
    <t>EMP-ID-119</t>
  </si>
  <si>
    <t>EMP-ID-120</t>
  </si>
  <si>
    <t>EMP-ID-121</t>
  </si>
  <si>
    <t>EMP-ID-122</t>
  </si>
  <si>
    <t>EMP-ID-123</t>
  </si>
  <si>
    <t>EMP-ID-124</t>
  </si>
  <si>
    <t>EMP-ID-125</t>
  </si>
  <si>
    <t>EMP-ID-126</t>
  </si>
  <si>
    <t>EMP-ID-127</t>
  </si>
  <si>
    <t>EMP-ID-128</t>
  </si>
  <si>
    <t>EMP-ID-129</t>
  </si>
  <si>
    <t>EMP-ID-130</t>
  </si>
  <si>
    <t>EMP-ID-131</t>
  </si>
  <si>
    <t>EMP-ID-132</t>
  </si>
  <si>
    <t>EMP-ID-133</t>
  </si>
  <si>
    <t>EMP-ID-134</t>
  </si>
  <si>
    <t>EMP-ID-135</t>
  </si>
  <si>
    <t>EMP-ID-136</t>
  </si>
  <si>
    <t>EMP-ID-137</t>
  </si>
  <si>
    <t>EMP-ID-138</t>
  </si>
  <si>
    <t>EMP-ID-139</t>
  </si>
  <si>
    <t>EMP-ID-140</t>
  </si>
  <si>
    <t>EMP-ID-141</t>
  </si>
  <si>
    <t>EMP-ID-142</t>
  </si>
  <si>
    <t>EMP-ID-143</t>
  </si>
  <si>
    <t>EMP-ID-144</t>
  </si>
  <si>
    <t>EMP-ID-145</t>
  </si>
  <si>
    <t>EMP-ID-146</t>
  </si>
  <si>
    <t>EMP-ID-147</t>
  </si>
  <si>
    <t>EMP-ID-148</t>
  </si>
  <si>
    <t>EMP-ID-149</t>
  </si>
  <si>
    <t>EMP-ID-150</t>
  </si>
  <si>
    <t>EMP-ID-151</t>
  </si>
  <si>
    <t>EMP-ID-152</t>
  </si>
  <si>
    <t>EMP-ID-153</t>
  </si>
  <si>
    <t>EMP-ID-154</t>
  </si>
  <si>
    <t>EMP-ID-155</t>
  </si>
  <si>
    <t>EMP-ID-156</t>
  </si>
  <si>
    <t>EMP-ID-157</t>
  </si>
  <si>
    <t>EMP-ID-158</t>
  </si>
  <si>
    <t>EMP-ID-159</t>
  </si>
  <si>
    <t>EMP-ID-160</t>
  </si>
  <si>
    <t>EMP-ID-161</t>
  </si>
  <si>
    <t>EMP-ID-162</t>
  </si>
  <si>
    <t>EMP-ID-163</t>
  </si>
  <si>
    <t>EMP-ID-164</t>
  </si>
  <si>
    <t>EMP-ID-165</t>
  </si>
  <si>
    <t>EMP-ID-166</t>
  </si>
  <si>
    <t>EMP-ID-167</t>
  </si>
  <si>
    <t>EMP-ID-168</t>
  </si>
  <si>
    <t>EMP-ID-169</t>
  </si>
  <si>
    <t>EMP-ID-170</t>
  </si>
  <si>
    <t>EMP-ID-171</t>
  </si>
  <si>
    <t>EMP-ID-172</t>
  </si>
  <si>
    <t>EMP-ID-173</t>
  </si>
  <si>
    <t>EMP-ID-174</t>
  </si>
  <si>
    <t>EMP-ID-175</t>
  </si>
  <si>
    <t>EMP-ID-176</t>
  </si>
  <si>
    <t>EMP-ID-177</t>
  </si>
  <si>
    <t>EMP-ID-178</t>
  </si>
  <si>
    <t>EMP-ID-179</t>
  </si>
  <si>
    <t>EMP-ID-180</t>
  </si>
  <si>
    <t>EMP-ID-181</t>
  </si>
  <si>
    <t>EMP-ID-182</t>
  </si>
  <si>
    <t>EMP-ID-183</t>
  </si>
  <si>
    <t>EMP-ID-184</t>
  </si>
  <si>
    <t>EMP-ID-185</t>
  </si>
  <si>
    <t>EMP-ID-186</t>
  </si>
  <si>
    <t>EMP-ID-187</t>
  </si>
  <si>
    <t>EMP-ID-188</t>
  </si>
  <si>
    <t>EMP-ID-189</t>
  </si>
  <si>
    <t>EMP-ID-190</t>
  </si>
  <si>
    <t>EMP-ID-191</t>
  </si>
  <si>
    <t>EMP-ID-192</t>
  </si>
  <si>
    <t>EMP-ID-193</t>
  </si>
  <si>
    <t>EMP-ID-194</t>
  </si>
  <si>
    <t>EMP-ID-195</t>
  </si>
  <si>
    <t>EMP-ID-196</t>
  </si>
  <si>
    <t>EMP-ID-197</t>
  </si>
  <si>
    <t>EMP-ID-198</t>
  </si>
  <si>
    <t>EMP-ID-199</t>
  </si>
  <si>
    <t>EMP-ID-200</t>
  </si>
  <si>
    <t>EMP-ID-201</t>
  </si>
  <si>
    <t>EMP-ID-202</t>
  </si>
  <si>
    <t>EMP-ID-203</t>
  </si>
  <si>
    <t>EMP-ID-204</t>
  </si>
  <si>
    <t>EMP-ID-205</t>
  </si>
  <si>
    <t>EMP-ID-206</t>
  </si>
  <si>
    <t>EMP-ID-207</t>
  </si>
  <si>
    <t>EMP-ID-208</t>
  </si>
  <si>
    <t>EMP-ID-209</t>
  </si>
  <si>
    <t>EMP-ID-210</t>
  </si>
  <si>
    <t>EMP-ID-211</t>
  </si>
  <si>
    <t>EMP-ID-212</t>
  </si>
  <si>
    <t>EMP-ID-213</t>
  </si>
  <si>
    <t>EMP-ID-214</t>
  </si>
  <si>
    <t>EMP-ID-215</t>
  </si>
  <si>
    <t>EMP-ID-216</t>
  </si>
  <si>
    <t>EMP-ID-217</t>
  </si>
  <si>
    <t>EMP-ID-218</t>
  </si>
  <si>
    <t>EMP-ID-219</t>
  </si>
  <si>
    <t>EMP-ID-220</t>
  </si>
  <si>
    <t>EMP-ID-221</t>
  </si>
  <si>
    <t>EMP-ID-222</t>
  </si>
  <si>
    <t>EMP-ID-223</t>
  </si>
  <si>
    <t>EMP-ID-224</t>
  </si>
  <si>
    <t>EMP-ID-225</t>
  </si>
  <si>
    <t>EMP-ID-226</t>
  </si>
  <si>
    <t>EMP-ID-227</t>
  </si>
  <si>
    <t>EMP-ID-228</t>
  </si>
  <si>
    <t>EMP-ID-229</t>
  </si>
  <si>
    <t>EMP-ID-230</t>
  </si>
  <si>
    <t>EMP-ID-231</t>
  </si>
  <si>
    <t>EMP-ID-232</t>
  </si>
  <si>
    <t>EMP-ID-233</t>
  </si>
  <si>
    <t>EMP-ID-234</t>
  </si>
  <si>
    <t>EMP-ID-235</t>
  </si>
  <si>
    <t>EMP-ID-236</t>
  </si>
  <si>
    <t>EMP-ID-237</t>
  </si>
  <si>
    <t>EMP-ID-238</t>
  </si>
  <si>
    <t>EMP-ID-239</t>
  </si>
  <si>
    <t>EMP-ID-240</t>
  </si>
  <si>
    <t>EMP-ID-241</t>
  </si>
  <si>
    <t>EMP-ID-242</t>
  </si>
  <si>
    <t>EMP-ID-243</t>
  </si>
  <si>
    <t>EMP-ID-244</t>
  </si>
  <si>
    <t>EMP-ID-245</t>
  </si>
  <si>
    <t>EMP-ID-246</t>
  </si>
  <si>
    <t>EMP-ID-247</t>
  </si>
  <si>
    <t>EMP-ID-248</t>
  </si>
  <si>
    <t>EMP-ID-249</t>
  </si>
  <si>
    <t>EMP-ID-250</t>
  </si>
  <si>
    <t>EMP-ID-251</t>
  </si>
  <si>
    <t>EMP-ID-252</t>
  </si>
  <si>
    <t>EMP-ID-253</t>
  </si>
  <si>
    <t>EMP-ID-254</t>
  </si>
  <si>
    <t>EMP-ID-255</t>
  </si>
  <si>
    <t>EMP-ID-256</t>
  </si>
  <si>
    <t>EMP-ID-257</t>
  </si>
  <si>
    <t>EMP-ID-258</t>
  </si>
  <si>
    <t>EMP-ID-259</t>
  </si>
  <si>
    <t>EMP-ID-260</t>
  </si>
  <si>
    <t>EMP-ID-261</t>
  </si>
  <si>
    <t>EMP-ID-262</t>
  </si>
  <si>
    <t>EMP-ID-263</t>
  </si>
  <si>
    <t>EMP-ID-264</t>
  </si>
  <si>
    <t>EMP-ID-265</t>
  </si>
  <si>
    <t>EMP-ID-266</t>
  </si>
  <si>
    <t>EMP-ID-267</t>
  </si>
  <si>
    <t>EMP-ID-268</t>
  </si>
  <si>
    <t>EMP-ID-269</t>
  </si>
  <si>
    <t>EMP-ID-270</t>
  </si>
  <si>
    <t>EMP-ID-271</t>
  </si>
  <si>
    <t>EMP-ID-272</t>
  </si>
  <si>
    <t>EMP-ID-273</t>
  </si>
  <si>
    <t>EMP-ID-274</t>
  </si>
  <si>
    <t>EMP-ID-275</t>
  </si>
  <si>
    <t>EMP-ID-276</t>
  </si>
  <si>
    <t>EMP-ID-277</t>
  </si>
  <si>
    <t>EMP-ID-278</t>
  </si>
  <si>
    <t>EMP-ID-279</t>
  </si>
  <si>
    <t>EMP-ID-280</t>
  </si>
  <si>
    <t>EMP-ID-281</t>
  </si>
  <si>
    <t>EMP-ID-282</t>
  </si>
  <si>
    <t>EMP-ID-283</t>
  </si>
  <si>
    <t>EMP-ID-284</t>
  </si>
  <si>
    <t>EMP-ID-285</t>
  </si>
  <si>
    <t>EMP-ID-286</t>
  </si>
  <si>
    <t>EMP-ID-287</t>
  </si>
  <si>
    <t>EMP-ID-288</t>
  </si>
  <si>
    <t>EMP-ID-289</t>
  </si>
  <si>
    <t>EMP-ID-290</t>
  </si>
  <si>
    <t>EMP-ID-291</t>
  </si>
  <si>
    <t>EMP-ID-292</t>
  </si>
  <si>
    <t>EMP-ID-293</t>
  </si>
  <si>
    <t>EMP-ID-294</t>
  </si>
  <si>
    <t>EMP-ID-295</t>
  </si>
  <si>
    <t>EMP-ID-296</t>
  </si>
  <si>
    <t>EMP-ID-297</t>
  </si>
  <si>
    <t>EMP-ID-298</t>
  </si>
  <si>
    <t>EMP-ID-299</t>
  </si>
  <si>
    <t>EMP-ID-300</t>
  </si>
  <si>
    <t>EMP-ID-301</t>
  </si>
  <si>
    <t>EMP-ID-302</t>
  </si>
  <si>
    <t>EMP-ID-303</t>
  </si>
  <si>
    <t>EMP-ID-304</t>
  </si>
  <si>
    <t>EMP-ID-305</t>
  </si>
  <si>
    <t>EMP-ID-306</t>
  </si>
  <si>
    <t>EMP-ID-307</t>
  </si>
  <si>
    <t>EMP-ID-308</t>
  </si>
  <si>
    <t>EMP-ID-309</t>
  </si>
  <si>
    <t>EMP-ID-310</t>
  </si>
  <si>
    <t>EMP-ID-311</t>
  </si>
  <si>
    <t>EMP-ID-312</t>
  </si>
  <si>
    <t>EMP-ID-313</t>
  </si>
  <si>
    <t>EMP-ID-314</t>
  </si>
  <si>
    <t>EMP-ID-315</t>
  </si>
  <si>
    <t>EMP-ID-316</t>
  </si>
  <si>
    <t>EMP-ID-317</t>
  </si>
  <si>
    <t>EMP-ID-318</t>
  </si>
  <si>
    <t>EMP-ID-319</t>
  </si>
  <si>
    <t>EMP-ID-320</t>
  </si>
  <si>
    <t>EMP-ID-321</t>
  </si>
  <si>
    <t>EMP-ID-322</t>
  </si>
  <si>
    <t>EMP-ID-323</t>
  </si>
  <si>
    <t>EMP-ID-324</t>
  </si>
  <si>
    <t>EMP-ID-325</t>
  </si>
  <si>
    <t>EMP-ID-326</t>
  </si>
  <si>
    <t>EMP-ID-327</t>
  </si>
  <si>
    <t>EMP-ID-328</t>
  </si>
  <si>
    <t>EMP-ID-329</t>
  </si>
  <si>
    <t>EMP-ID-330</t>
  </si>
  <si>
    <t>EMP-ID-331</t>
  </si>
  <si>
    <t>EMP-ID-332</t>
  </si>
  <si>
    <t>EMP-ID-333</t>
  </si>
  <si>
    <t>EMP-ID-334</t>
  </si>
  <si>
    <t>EMP-ID-335</t>
  </si>
  <si>
    <t>EMP-ID-336</t>
  </si>
  <si>
    <t>EMP-ID-337</t>
  </si>
  <si>
    <t>EMP-ID-338</t>
  </si>
  <si>
    <t>EMP-ID-339</t>
  </si>
  <si>
    <t>EMP-ID-340</t>
  </si>
  <si>
    <t>EMP-ID-341</t>
  </si>
  <si>
    <t>EMP-ID-342</t>
  </si>
  <si>
    <t>EMP-ID-343</t>
  </si>
  <si>
    <t>EMP-ID-344</t>
  </si>
  <si>
    <t>EMP-ID-345</t>
  </si>
  <si>
    <t>EMP-ID-346</t>
  </si>
  <si>
    <t>EMP-ID-347</t>
  </si>
  <si>
    <t>EMP-ID-348</t>
  </si>
  <si>
    <t>EMP-ID-349</t>
  </si>
  <si>
    <t>EMP-ID-350</t>
  </si>
  <si>
    <t>EMP-ID-351</t>
  </si>
  <si>
    <t>EMP-ID-352</t>
  </si>
  <si>
    <t>EMP-ID-353</t>
  </si>
  <si>
    <t>EMP-ID-354</t>
  </si>
  <si>
    <t>EMP-ID-355</t>
  </si>
  <si>
    <t>EMP-ID-356</t>
  </si>
  <si>
    <t>EMP-ID-357</t>
  </si>
  <si>
    <t>EMP-ID-358</t>
  </si>
  <si>
    <t>EMP-ID-359</t>
  </si>
  <si>
    <t>EMP-ID-360</t>
  </si>
  <si>
    <t>EMP-ID-361</t>
  </si>
  <si>
    <t>EMP-ID-362</t>
  </si>
  <si>
    <t>EMP-ID-363</t>
  </si>
  <si>
    <t>EMP-ID-364</t>
  </si>
  <si>
    <t>EMP-ID-365</t>
  </si>
  <si>
    <t>EMP-ID-366</t>
  </si>
  <si>
    <t>EMP-ID-367</t>
  </si>
  <si>
    <t>EMP-ID-368</t>
  </si>
  <si>
    <t>EMP-ID-369</t>
  </si>
  <si>
    <t>EMP-ID-370</t>
  </si>
  <si>
    <t>EMP-ID-371</t>
  </si>
  <si>
    <t>EMP-ID-372</t>
  </si>
  <si>
    <t>EMP-ID-373</t>
  </si>
  <si>
    <t>EMP-ID-374</t>
  </si>
  <si>
    <t>EMP-ID-375</t>
  </si>
  <si>
    <t>EMP-ID-376</t>
  </si>
  <si>
    <t>EMP-ID-377</t>
  </si>
  <si>
    <t>EMP-ID-378</t>
  </si>
  <si>
    <t>EMP-ID-379</t>
  </si>
  <si>
    <t>EMP-ID-380</t>
  </si>
  <si>
    <t>EMP-ID-381</t>
  </si>
  <si>
    <t>EMP-ID-382</t>
  </si>
  <si>
    <t>EMP-ID-383</t>
  </si>
  <si>
    <t>EMP-ID-384</t>
  </si>
  <si>
    <t>EMP-ID-385</t>
  </si>
  <si>
    <t>EMP-ID-386</t>
  </si>
  <si>
    <t>EMP-ID-387</t>
  </si>
  <si>
    <t>EMP-ID-388</t>
  </si>
  <si>
    <t>EMP-ID-389</t>
  </si>
  <si>
    <t>EMP-ID-390</t>
  </si>
  <si>
    <t>EMP-ID-391</t>
  </si>
  <si>
    <t>EMP-ID-392</t>
  </si>
  <si>
    <t>EMP-ID-393</t>
  </si>
  <si>
    <t>EMP-ID-394</t>
  </si>
  <si>
    <t>EMP-ID-395</t>
  </si>
  <si>
    <t>EMP-ID-396</t>
  </si>
  <si>
    <t>EMP-ID-397</t>
  </si>
  <si>
    <t>EMP-ID-398</t>
  </si>
  <si>
    <t>EMP-ID-399</t>
  </si>
  <si>
    <t>EMP-ID-400</t>
  </si>
  <si>
    <t>EMP-ID-401</t>
  </si>
  <si>
    <t>EMP-ID-402</t>
  </si>
  <si>
    <t>EMP-ID-403</t>
  </si>
  <si>
    <t>EMP-ID-404</t>
  </si>
  <si>
    <t>EMP-ID-405</t>
  </si>
  <si>
    <t>EMP-ID-406</t>
  </si>
  <si>
    <t>EMP-ID-407</t>
  </si>
  <si>
    <t>EMP-ID-408</t>
  </si>
  <si>
    <t>EMP-ID-409</t>
  </si>
  <si>
    <t>EMP-ID-410</t>
  </si>
  <si>
    <t>EMP-ID-411</t>
  </si>
  <si>
    <t>EMP-ID-412</t>
  </si>
  <si>
    <t>EMP-ID-413</t>
  </si>
  <si>
    <t>EMP-ID-414</t>
  </si>
  <si>
    <t>EMP-ID-415</t>
  </si>
  <si>
    <t>EMP-ID-416</t>
  </si>
  <si>
    <t>EMP-ID-417</t>
  </si>
  <si>
    <t>EMP-ID-418</t>
  </si>
  <si>
    <t>EMP-ID-419</t>
  </si>
  <si>
    <t>EMP-ID-420</t>
  </si>
  <si>
    <t>EMP-ID-421</t>
  </si>
  <si>
    <t>EMP-ID-422</t>
  </si>
  <si>
    <t>EMP-ID-423</t>
  </si>
  <si>
    <t>EMP-ID-424</t>
  </si>
  <si>
    <t>EMP-ID-425</t>
  </si>
  <si>
    <t>EMP-ID-426</t>
  </si>
  <si>
    <t>EMP-ID-427</t>
  </si>
  <si>
    <t>EMP-ID-428</t>
  </si>
  <si>
    <t>EMP-ID-429</t>
  </si>
  <si>
    <t>EMP-ID-430</t>
  </si>
  <si>
    <t>EMP-ID-431</t>
  </si>
  <si>
    <t>EMP-ID-432</t>
  </si>
  <si>
    <t>EMP-ID-433</t>
  </si>
  <si>
    <t>EMP-ID-434</t>
  </si>
  <si>
    <t>EMP-ID-435</t>
  </si>
  <si>
    <t>EMP-ID-436</t>
  </si>
  <si>
    <t>EMP-ID-437</t>
  </si>
  <si>
    <t>EMP-ID-438</t>
  </si>
  <si>
    <t>EMP-ID-439</t>
  </si>
  <si>
    <t>EMP-ID-440</t>
  </si>
  <si>
    <t>EMP-ID-441</t>
  </si>
  <si>
    <t>EMP-ID-442</t>
  </si>
  <si>
    <t>EMP-ID-443</t>
  </si>
  <si>
    <t>EMP-ID-444</t>
  </si>
  <si>
    <t>EMP-ID-445</t>
  </si>
  <si>
    <t>EMP-ID-446</t>
  </si>
  <si>
    <t>EMP-ID-447</t>
  </si>
  <si>
    <t>EMP-ID-448</t>
  </si>
  <si>
    <t>EMP-ID-449</t>
  </si>
  <si>
    <t>EMP-ID-450</t>
  </si>
  <si>
    <t>EMP-ID-451</t>
  </si>
  <si>
    <t>EMP-ID-452</t>
  </si>
  <si>
    <t>EMP-ID-453</t>
  </si>
  <si>
    <t>EMP-ID-454</t>
  </si>
  <si>
    <t>EMP-ID-455</t>
  </si>
  <si>
    <t>EMP-ID-456</t>
  </si>
  <si>
    <t>EMP-ID-457</t>
  </si>
  <si>
    <t>EMP-ID-458</t>
  </si>
  <si>
    <t>EMP-ID-459</t>
  </si>
  <si>
    <t>EMP-ID-460</t>
  </si>
  <si>
    <t>EMP-ID-461</t>
  </si>
  <si>
    <t>EMP-ID-462</t>
  </si>
  <si>
    <t>EMP-ID-463</t>
  </si>
  <si>
    <t>EMP-ID-464</t>
  </si>
  <si>
    <t>EMP-ID-465</t>
  </si>
  <si>
    <t>EMP-ID-466</t>
  </si>
  <si>
    <t>EMP-ID-467</t>
  </si>
  <si>
    <t>EMP-ID-468</t>
  </si>
  <si>
    <t>EMP-ID-469</t>
  </si>
  <si>
    <t>EMP-ID-470</t>
  </si>
  <si>
    <t>EMP-ID-471</t>
  </si>
  <si>
    <t>EMP-ID-472</t>
  </si>
  <si>
    <t>EMP-ID-473</t>
  </si>
  <si>
    <t>EMP-ID-474</t>
  </si>
  <si>
    <t>EMP-ID-475</t>
  </si>
  <si>
    <t>EMP-ID-476</t>
  </si>
  <si>
    <t>EMP-ID-477</t>
  </si>
  <si>
    <t>EMP-ID-478</t>
  </si>
  <si>
    <t>EMP-ID-479</t>
  </si>
  <si>
    <t>EMP-ID-480</t>
  </si>
  <si>
    <t>EMP-ID-481</t>
  </si>
  <si>
    <t>EMP-ID-482</t>
  </si>
  <si>
    <t>EMP-ID-483</t>
  </si>
  <si>
    <t>EMP-ID-484</t>
  </si>
  <si>
    <t>EMP-ID-485</t>
  </si>
  <si>
    <t>EMP-ID-486</t>
  </si>
  <si>
    <t>EMP-ID-487</t>
  </si>
  <si>
    <t>EMP-ID-488</t>
  </si>
  <si>
    <t>EMP-ID-489</t>
  </si>
  <si>
    <t>EMP-ID-490</t>
  </si>
  <si>
    <t>EMP-ID-491</t>
  </si>
  <si>
    <t>EMP-ID-492</t>
  </si>
  <si>
    <t>EMP-ID-493</t>
  </si>
  <si>
    <t>EMP-ID-494</t>
  </si>
  <si>
    <t>EMP-ID-495</t>
  </si>
  <si>
    <t>EMP-ID-496</t>
  </si>
  <si>
    <t>EMP-ID-497</t>
  </si>
  <si>
    <t>EMP-ID-498</t>
  </si>
  <si>
    <t>EMP-ID-499</t>
  </si>
  <si>
    <t>EMP-ID-500</t>
  </si>
  <si>
    <t>EMP-ID-501</t>
  </si>
  <si>
    <t>EMP-ID-502</t>
  </si>
  <si>
    <t>EMP-ID-503</t>
  </si>
  <si>
    <t>EMP-ID-504</t>
  </si>
  <si>
    <t>EMP-ID-505</t>
  </si>
  <si>
    <t>EMP-ID-506</t>
  </si>
  <si>
    <t>EMP-ID-507</t>
  </si>
  <si>
    <t>EMP-ID-508</t>
  </si>
  <si>
    <t>EMP-ID-509</t>
  </si>
  <si>
    <t>EMP-ID-510</t>
  </si>
  <si>
    <t>EMP-ID-511</t>
  </si>
  <si>
    <t>EMP-ID-512</t>
  </si>
  <si>
    <t>EMP-ID-513</t>
  </si>
  <si>
    <t>EMP-ID-514</t>
  </si>
  <si>
    <t>EMP-ID-515</t>
  </si>
  <si>
    <t>EMP-ID-516</t>
  </si>
  <si>
    <t>EMP-ID-517</t>
  </si>
  <si>
    <t>EMP-ID-518</t>
  </si>
  <si>
    <t>EMP-ID-519</t>
  </si>
  <si>
    <t>EMP-ID-520</t>
  </si>
  <si>
    <t>EMP-ID-521</t>
  </si>
  <si>
    <t>EMP-ID-522</t>
  </si>
  <si>
    <t>EMP-ID-523</t>
  </si>
  <si>
    <t>EMP-ID-524</t>
  </si>
  <si>
    <t>EMP-ID-525</t>
  </si>
  <si>
    <t>EMP-ID-526</t>
  </si>
  <si>
    <t>EMP-ID-527</t>
  </si>
  <si>
    <t>EMP-ID-528</t>
  </si>
  <si>
    <t>EMP-ID-529</t>
  </si>
  <si>
    <t>EMP-ID-530</t>
  </si>
  <si>
    <t>EMP-ID-531</t>
  </si>
  <si>
    <t>EMP-ID-532</t>
  </si>
  <si>
    <t>EMP-ID-533</t>
  </si>
  <si>
    <t>EMP-ID-534</t>
  </si>
  <si>
    <t>EMP-ID-535</t>
  </si>
  <si>
    <t>EMP-ID-536</t>
  </si>
  <si>
    <t>EMP-ID-537</t>
  </si>
  <si>
    <t>EMP-ID-538</t>
  </si>
  <si>
    <t>EMP-ID-539</t>
  </si>
  <si>
    <t>EMP-ID-540</t>
  </si>
  <si>
    <t>EMP-ID-541</t>
  </si>
  <si>
    <t>EMP-ID-542</t>
  </si>
  <si>
    <t>EMP-ID-543</t>
  </si>
  <si>
    <t>EMP-ID-544</t>
  </si>
  <si>
    <t>EMP-ID-545</t>
  </si>
  <si>
    <t>EMP-ID-546</t>
  </si>
  <si>
    <t>EMP-ID-547</t>
  </si>
  <si>
    <t>EMP-ID-548</t>
  </si>
  <si>
    <t>EMP-ID-549</t>
  </si>
  <si>
    <t>EMP-ID-550</t>
  </si>
  <si>
    <t>EMP-ID-551</t>
  </si>
  <si>
    <t>EMP-ID-552</t>
  </si>
  <si>
    <t>EMP-ID-553</t>
  </si>
  <si>
    <t>EMP-ID-554</t>
  </si>
  <si>
    <t>EMP-ID-555</t>
  </si>
  <si>
    <t>EMP-ID-556</t>
  </si>
  <si>
    <t>EMP-ID-557</t>
  </si>
  <si>
    <t>EMP-ID-558</t>
  </si>
  <si>
    <t>EMP-ID-559</t>
  </si>
  <si>
    <t>EMP-ID-560</t>
  </si>
  <si>
    <t>EMP-ID-561</t>
  </si>
  <si>
    <t>EMP-ID-562</t>
  </si>
  <si>
    <t>EMP-ID-563</t>
  </si>
  <si>
    <t>EMP-ID-564</t>
  </si>
  <si>
    <t>EMP-ID-565</t>
  </si>
  <si>
    <t>EMP-ID-566</t>
  </si>
  <si>
    <t>EMP-ID-567</t>
  </si>
  <si>
    <t>EMP-ID-568</t>
  </si>
  <si>
    <t>EMP-ID-569</t>
  </si>
  <si>
    <t>EMP-ID-570</t>
  </si>
  <si>
    <t>EMP-ID-571</t>
  </si>
  <si>
    <t>EMP-ID-572</t>
  </si>
  <si>
    <t>EMP-ID-573</t>
  </si>
  <si>
    <t>EMP-ID-574</t>
  </si>
  <si>
    <t>EMP-ID-575</t>
  </si>
  <si>
    <t>EMP-ID-576</t>
  </si>
  <si>
    <t>EMP-ID-577</t>
  </si>
  <si>
    <t>EMP-ID-578</t>
  </si>
  <si>
    <t>EMP-ID-579</t>
  </si>
  <si>
    <t>EMP-ID-580</t>
  </si>
  <si>
    <t>EMP-ID-581</t>
  </si>
  <si>
    <t>EMP-ID-582</t>
  </si>
  <si>
    <t>EMP-ID-583</t>
  </si>
  <si>
    <t>EMP-ID-584</t>
  </si>
  <si>
    <t>EMP-ID-585</t>
  </si>
  <si>
    <t>EMP-ID-586</t>
  </si>
  <si>
    <t>EMP-ID-587</t>
  </si>
  <si>
    <t>EMP-ID-588</t>
  </si>
  <si>
    <t>EMP-ID-589</t>
  </si>
  <si>
    <t>EMP-ID-590</t>
  </si>
  <si>
    <t>EMP-ID-591</t>
  </si>
  <si>
    <t>EMP-ID-592</t>
  </si>
  <si>
    <t>EMP-ID-593</t>
  </si>
  <si>
    <t>EMP-ID-594</t>
  </si>
  <si>
    <t>EMP-ID-595</t>
  </si>
  <si>
    <t>EMP-ID-596</t>
  </si>
  <si>
    <t>EMP-ID-597</t>
  </si>
  <si>
    <t>EMP-ID-598</t>
  </si>
  <si>
    <t>EMP-ID-599</t>
  </si>
  <si>
    <t>EMP-ID-600</t>
  </si>
  <si>
    <t>EMP-ID-601</t>
  </si>
  <si>
    <t>EMP-ID-602</t>
  </si>
  <si>
    <t>EMP-ID-603</t>
  </si>
  <si>
    <t>EMP-ID-604</t>
  </si>
  <si>
    <t>EMP-ID-605</t>
  </si>
  <si>
    <t>EMP-ID-606</t>
  </si>
  <si>
    <t>EMP-ID-607</t>
  </si>
  <si>
    <t>EMP-ID-608</t>
  </si>
  <si>
    <t>EMP-ID-609</t>
  </si>
  <si>
    <t>EMP-ID-610</t>
  </si>
  <si>
    <t>EMP-ID-611</t>
  </si>
  <si>
    <t>EMP-ID-612</t>
  </si>
  <si>
    <t>EMP-ID-613</t>
  </si>
  <si>
    <t>EMP-ID-614</t>
  </si>
  <si>
    <t>EMP-ID-615</t>
  </si>
  <si>
    <t>EMP-ID-616</t>
  </si>
  <si>
    <t>EMP-ID-617</t>
  </si>
  <si>
    <t>EMP-ID-618</t>
  </si>
  <si>
    <t>EMP-ID-619</t>
  </si>
  <si>
    <t>EMP-ID-620</t>
  </si>
  <si>
    <t>EMP-ID-621</t>
  </si>
  <si>
    <t>EMP-ID-622</t>
  </si>
  <si>
    <t>EMP-ID-623</t>
  </si>
  <si>
    <t>EMP-ID-624</t>
  </si>
  <si>
    <t>EMP-ID-625</t>
  </si>
  <si>
    <t>EMP-ID-626</t>
  </si>
  <si>
    <t>EMP-ID-627</t>
  </si>
  <si>
    <t>EMP-ID-628</t>
  </si>
  <si>
    <t>EMP-ID-629</t>
  </si>
  <si>
    <t>EMP-ID-630</t>
  </si>
  <si>
    <t>EMP-ID-631</t>
  </si>
  <si>
    <t>EMP-ID-632</t>
  </si>
  <si>
    <t>EMP-ID-633</t>
  </si>
  <si>
    <t>EMP-ID-634</t>
  </si>
  <si>
    <t>EMP-ID-635</t>
  </si>
  <si>
    <t>EMP-ID-636</t>
  </si>
  <si>
    <t>EMP-ID-637</t>
  </si>
  <si>
    <t>EMP-ID-638</t>
  </si>
  <si>
    <t>EMP-ID-639</t>
  </si>
  <si>
    <t>EMP-ID-640</t>
  </si>
  <si>
    <t>EMP-ID-641</t>
  </si>
  <si>
    <t>EMP-ID-642</t>
  </si>
  <si>
    <t>EMP-ID-643</t>
  </si>
  <si>
    <t>EMP-ID-644</t>
  </si>
  <si>
    <t>EMP-ID-645</t>
  </si>
  <si>
    <t>EMP-ID-646</t>
  </si>
  <si>
    <t>EMP-ID-647</t>
  </si>
  <si>
    <t>EMP-ID-648</t>
  </si>
  <si>
    <t>EMP-ID-649</t>
  </si>
  <si>
    <t>EMP-ID-650</t>
  </si>
  <si>
    <t>EMP-ID-651</t>
  </si>
  <si>
    <t>EMP-ID-652</t>
  </si>
  <si>
    <t>EMP-ID-653</t>
  </si>
  <si>
    <t>EMP-ID-654</t>
  </si>
  <si>
    <t>EMP-ID-655</t>
  </si>
  <si>
    <t>EMP-ID-656</t>
  </si>
  <si>
    <t>EMP-ID-657</t>
  </si>
  <si>
    <t>EMP-ID-658</t>
  </si>
  <si>
    <t>EMP-ID-659</t>
  </si>
  <si>
    <t>EMP-ID-660</t>
  </si>
  <si>
    <t>EMP-ID-661</t>
  </si>
  <si>
    <t>EMP-ID-662</t>
  </si>
  <si>
    <t>EMP-ID-663</t>
  </si>
  <si>
    <t>EMP-ID-664</t>
  </si>
  <si>
    <t>EMP-ID-665</t>
  </si>
  <si>
    <t>EMP-ID-666</t>
  </si>
  <si>
    <t>EMP-ID-667</t>
  </si>
  <si>
    <t>EMP-ID-668</t>
  </si>
  <si>
    <t>EMP-ID-669</t>
  </si>
  <si>
    <t>EMP-ID-670</t>
  </si>
  <si>
    <t>EMP-ID-671</t>
  </si>
  <si>
    <t>EMP-ID-672</t>
  </si>
  <si>
    <t>EMP-ID-673</t>
  </si>
  <si>
    <t>EMP-ID-674</t>
  </si>
  <si>
    <t>EMP-ID-675</t>
  </si>
  <si>
    <t>EMP-ID-676</t>
  </si>
  <si>
    <t>EMP-ID-677</t>
  </si>
  <si>
    <t>EMP-ID-678</t>
  </si>
  <si>
    <t>EMP-ID-679</t>
  </si>
  <si>
    <t>EMP-ID-680</t>
  </si>
  <si>
    <t>EMP-ID-681</t>
  </si>
  <si>
    <t>EMP-ID-682</t>
  </si>
  <si>
    <t>EMP-ID-683</t>
  </si>
  <si>
    <t>EMP-ID-684</t>
  </si>
  <si>
    <t>EMP-ID-685</t>
  </si>
  <si>
    <t>EMP-ID-686</t>
  </si>
  <si>
    <t>EMP-ID-687</t>
  </si>
  <si>
    <t>EMP-ID-688</t>
  </si>
  <si>
    <t>EMP-ID-689</t>
  </si>
  <si>
    <t>EMP-ID-690</t>
  </si>
  <si>
    <t>EMP-ID-691</t>
  </si>
  <si>
    <t>EMP-ID-692</t>
  </si>
  <si>
    <t>EMP-ID-693</t>
  </si>
  <si>
    <t>EMP-ID-694</t>
  </si>
  <si>
    <t>EMP-ID-695</t>
  </si>
  <si>
    <t>EMP-ID-696</t>
  </si>
  <si>
    <t>EMP-ID-697</t>
  </si>
  <si>
    <t>EMP-ID-698</t>
  </si>
  <si>
    <t>EMP-ID-699</t>
  </si>
  <si>
    <t>EMP-ID-700</t>
  </si>
  <si>
    <t>EMP-ID-701</t>
  </si>
  <si>
    <t>EMP-ID-702</t>
  </si>
  <si>
    <t>EMP-ID-703</t>
  </si>
  <si>
    <t>EMP-ID-704</t>
  </si>
  <si>
    <t>EMP-ID-705</t>
  </si>
  <si>
    <t>EMP-ID-706</t>
  </si>
  <si>
    <t>EMP-ID-707</t>
  </si>
  <si>
    <t>EMP-ID-708</t>
  </si>
  <si>
    <t>EMP-ID-709</t>
  </si>
  <si>
    <t>EMP-ID-710</t>
  </si>
  <si>
    <t>EMP-ID-711</t>
  </si>
  <si>
    <t>EMP-ID-712</t>
  </si>
  <si>
    <t>EMP-ID-713</t>
  </si>
  <si>
    <t>EMP-ID-714</t>
  </si>
  <si>
    <t>EMP-ID-715</t>
  </si>
  <si>
    <t>EMP-ID-716</t>
  </si>
  <si>
    <t>EMP-ID-717</t>
  </si>
  <si>
    <t>EMP-ID-718</t>
  </si>
  <si>
    <t>EMP-ID-719</t>
  </si>
  <si>
    <t>EMP-ID-720</t>
  </si>
  <si>
    <t>EMP-ID-721</t>
  </si>
  <si>
    <t>EMP-ID-722</t>
  </si>
  <si>
    <t>EMP-ID-723</t>
  </si>
  <si>
    <t>EMP-ID-724</t>
  </si>
  <si>
    <t>EMP-ID-725</t>
  </si>
  <si>
    <t>EMP-ID-726</t>
  </si>
  <si>
    <t>EMP-ID-727</t>
  </si>
  <si>
    <t>EMP-ID-728</t>
  </si>
  <si>
    <t>EMP-ID-729</t>
  </si>
  <si>
    <t>EMP-ID-730</t>
  </si>
  <si>
    <t>EMP-ID-731</t>
  </si>
  <si>
    <t>EMP-ID-732</t>
  </si>
  <si>
    <t>EMP-ID-733</t>
  </si>
  <si>
    <t>EMP-ID-734</t>
  </si>
  <si>
    <t>EMP-ID-735</t>
  </si>
  <si>
    <t>EMP-ID-736</t>
  </si>
  <si>
    <t>EMP-ID-737</t>
  </si>
  <si>
    <t>EMP-ID-738</t>
  </si>
  <si>
    <t>EMP-ID-739</t>
  </si>
  <si>
    <t>EMP-ID-740</t>
  </si>
  <si>
    <t>EMP-ID-741</t>
  </si>
  <si>
    <t>EMP-ID-742</t>
  </si>
  <si>
    <t>EMP-ID-743</t>
  </si>
  <si>
    <t>EMP-ID-744</t>
  </si>
  <si>
    <t>EMP-ID-745</t>
  </si>
  <si>
    <t>EMP-ID-746</t>
  </si>
  <si>
    <t>EMP-ID-747</t>
  </si>
  <si>
    <t>EMP-ID-748</t>
  </si>
  <si>
    <t>EMP-ID-749</t>
  </si>
  <si>
    <t>EMP-ID-750</t>
  </si>
  <si>
    <t>EMP-ID-751</t>
  </si>
  <si>
    <t>EMP-ID-752</t>
  </si>
  <si>
    <t>EMP-ID-753</t>
  </si>
  <si>
    <t>EMP-ID-754</t>
  </si>
  <si>
    <t>EMP-ID-755</t>
  </si>
  <si>
    <t>EMP-ID-756</t>
  </si>
  <si>
    <t>EMP-ID-757</t>
  </si>
  <si>
    <t>EMP-ID-758</t>
  </si>
  <si>
    <t>EMP-ID-759</t>
  </si>
  <si>
    <t>EMP-ID-760</t>
  </si>
  <si>
    <t>EMP-ID-761</t>
  </si>
  <si>
    <t>EMP-ID-762</t>
  </si>
  <si>
    <t>EMP-ID-763</t>
  </si>
  <si>
    <t>EMP-ID-764</t>
  </si>
  <si>
    <t>EMP-ID-765</t>
  </si>
  <si>
    <t>EMP-ID-766</t>
  </si>
  <si>
    <t>EMP-ID-767</t>
  </si>
  <si>
    <t>EMP-ID-768</t>
  </si>
  <si>
    <t>EMP-ID-769</t>
  </si>
  <si>
    <t>EMP-ID-770</t>
  </si>
  <si>
    <t>EMP-ID-771</t>
  </si>
  <si>
    <t>EMP-ID-772</t>
  </si>
  <si>
    <t>EMP-ID-773</t>
  </si>
  <si>
    <t>EMP-ID-774</t>
  </si>
  <si>
    <t>EMP-ID-775</t>
  </si>
  <si>
    <t>EMP-ID-776</t>
  </si>
  <si>
    <t>EMP-ID-777</t>
  </si>
  <si>
    <t>EMP-ID-778</t>
  </si>
  <si>
    <t>EMP-ID-779</t>
  </si>
  <si>
    <t>EMP-ID-780</t>
  </si>
  <si>
    <t>EMP-ID-781</t>
  </si>
  <si>
    <t>EMP-ID-782</t>
  </si>
  <si>
    <t>EMP-ID-783</t>
  </si>
  <si>
    <t>EMP-ID-784</t>
  </si>
  <si>
    <t>EMP-ID-785</t>
  </si>
  <si>
    <t>EMP-ID-786</t>
  </si>
  <si>
    <t>EMP-ID-787</t>
  </si>
  <si>
    <t>EMP-ID-788</t>
  </si>
  <si>
    <t>EMP-ID-789</t>
  </si>
  <si>
    <t>EMP-ID-790</t>
  </si>
  <si>
    <t>EMP-ID-791</t>
  </si>
  <si>
    <t>EMP-ID-792</t>
  </si>
  <si>
    <t>EMP-ID-793</t>
  </si>
  <si>
    <t>EMP-ID-794</t>
  </si>
  <si>
    <t>EMP-ID-795</t>
  </si>
  <si>
    <t>EMP-ID-796</t>
  </si>
  <si>
    <t>EMP-ID-797</t>
  </si>
  <si>
    <t>EMP-ID-798</t>
  </si>
  <si>
    <t>EMP-ID-799</t>
  </si>
  <si>
    <t>EMP-ID-800</t>
  </si>
  <si>
    <t>EMP-ID-801</t>
  </si>
  <si>
    <t>EMP-ID-802</t>
  </si>
  <si>
    <t>EMP-ID-803</t>
  </si>
  <si>
    <t>EMP-ID-804</t>
  </si>
  <si>
    <t>EMP-ID-805</t>
  </si>
  <si>
    <t>EMP-ID-806</t>
  </si>
  <si>
    <t>EMP-ID-807</t>
  </si>
  <si>
    <t>EMP-ID-808</t>
  </si>
  <si>
    <t>EMP-ID-809</t>
  </si>
  <si>
    <t>EMP-ID-810</t>
  </si>
  <si>
    <t>EMP-ID-811</t>
  </si>
  <si>
    <t>EMP-ID-812</t>
  </si>
  <si>
    <t>EMP-ID-813</t>
  </si>
  <si>
    <t>EMP-ID-814</t>
  </si>
  <si>
    <t>EMP-ID-815</t>
  </si>
  <si>
    <t>EMP-ID-816</t>
  </si>
  <si>
    <t>EMP-ID-817</t>
  </si>
  <si>
    <t>EMP-ID-818</t>
  </si>
  <si>
    <t>EMP-ID-819</t>
  </si>
  <si>
    <t>EMP-ID-820</t>
  </si>
  <si>
    <t>EMP-ID-821</t>
  </si>
  <si>
    <t>EMP-ID-822</t>
  </si>
  <si>
    <t>EMP-ID-823</t>
  </si>
  <si>
    <t>EMP-ID-824</t>
  </si>
  <si>
    <t>EMP-ID-825</t>
  </si>
  <si>
    <t>EMP-ID-826</t>
  </si>
  <si>
    <t>EMP-ID-827</t>
  </si>
  <si>
    <t>EMP-ID-828</t>
  </si>
  <si>
    <t>EMP-ID-829</t>
  </si>
  <si>
    <t>EMP-ID-830</t>
  </si>
  <si>
    <t>EMP-ID-831</t>
  </si>
  <si>
    <t>EMP-ID-832</t>
  </si>
  <si>
    <t>EMP-ID-833</t>
  </si>
  <si>
    <t>EMP-ID-834</t>
  </si>
  <si>
    <t>EMP-ID-835</t>
  </si>
  <si>
    <t>EMP-ID-836</t>
  </si>
  <si>
    <t>EMP-ID-837</t>
  </si>
  <si>
    <t>EMP-ID-838</t>
  </si>
  <si>
    <t>EMP-ID-839</t>
  </si>
  <si>
    <t>EMP-ID-840</t>
  </si>
  <si>
    <t>EMP-ID-841</t>
  </si>
  <si>
    <t>EMP-ID-842</t>
  </si>
  <si>
    <t>EMP-ID-843</t>
  </si>
  <si>
    <t>EMP-ID-844</t>
  </si>
  <si>
    <t>EMP-ID-845</t>
  </si>
  <si>
    <t>EMP-ID-846</t>
  </si>
  <si>
    <t>EMP-ID-847</t>
  </si>
  <si>
    <t>EMP-ID-848</t>
  </si>
  <si>
    <t>EMP-ID-849</t>
  </si>
  <si>
    <t>EMP-ID-850</t>
  </si>
  <si>
    <t>EMP-ID-851</t>
  </si>
  <si>
    <t>EMP-ID-852</t>
  </si>
  <si>
    <t>EMP-ID-853</t>
  </si>
  <si>
    <t>EMP-ID-854</t>
  </si>
  <si>
    <t>EMP-ID-855</t>
  </si>
  <si>
    <t>EMP-ID-856</t>
  </si>
  <si>
    <t>EMP-ID-857</t>
  </si>
  <si>
    <t>EMP-ID-858</t>
  </si>
  <si>
    <t>EMP-ID-859</t>
  </si>
  <si>
    <t>EMP-ID-860</t>
  </si>
  <si>
    <t>EMP-ID-861</t>
  </si>
  <si>
    <t>EMP-ID-862</t>
  </si>
  <si>
    <t>EMP-ID-863</t>
  </si>
  <si>
    <t>EMP-ID-864</t>
  </si>
  <si>
    <t>EMP-ID-865</t>
  </si>
  <si>
    <t>EMP-ID-866</t>
  </si>
  <si>
    <t>EMP-ID-867</t>
  </si>
  <si>
    <t>EMP-ID-868</t>
  </si>
  <si>
    <t>EMP-ID-869</t>
  </si>
  <si>
    <t>EMP-ID-870</t>
  </si>
  <si>
    <t>EMP-ID-871</t>
  </si>
  <si>
    <t>EMP-ID-872</t>
  </si>
  <si>
    <t>EMP-ID-873</t>
  </si>
  <si>
    <t>EMP-ID-874</t>
  </si>
  <si>
    <t>EMP-ID-875</t>
  </si>
  <si>
    <t>EMP-ID-876</t>
  </si>
  <si>
    <t>EMP-ID-877</t>
  </si>
  <si>
    <t>EMP-ID-878</t>
  </si>
  <si>
    <t>EMP-ID-879</t>
  </si>
  <si>
    <t>EMP-ID-880</t>
  </si>
  <si>
    <t>EMP-ID-881</t>
  </si>
  <si>
    <t>EMP-ID-882</t>
  </si>
  <si>
    <t>EMP-ID-883</t>
  </si>
  <si>
    <t>EMP-ID-884</t>
  </si>
  <si>
    <t>EMP-ID-885</t>
  </si>
  <si>
    <t>EMP-ID-886</t>
  </si>
  <si>
    <t>EMP-ID-887</t>
  </si>
  <si>
    <t>EMP-ID-888</t>
  </si>
  <si>
    <t>EMP-ID-889</t>
  </si>
  <si>
    <t>EMP-ID-890</t>
  </si>
  <si>
    <t>EMP-ID-891</t>
  </si>
  <si>
    <t>EMP-ID-892</t>
  </si>
  <si>
    <t>EMP-ID-893</t>
  </si>
  <si>
    <t>EMP-ID-894</t>
  </si>
  <si>
    <t>EMP-ID-895</t>
  </si>
  <si>
    <t>EMP-ID-896</t>
  </si>
  <si>
    <t>EMP-ID-897</t>
  </si>
  <si>
    <t>EMP-ID-898</t>
  </si>
  <si>
    <t>EMP-ID-899</t>
  </si>
  <si>
    <t>EMP-ID-900</t>
  </si>
  <si>
    <t>EMP-ID-901</t>
  </si>
  <si>
    <t>EMP-ID-902</t>
  </si>
  <si>
    <t>EMP-ID-903</t>
  </si>
  <si>
    <t>EMP-ID-904</t>
  </si>
  <si>
    <t>EMP-ID-905</t>
  </si>
  <si>
    <t>EMP-ID-906</t>
  </si>
  <si>
    <t>EMP-ID-907</t>
  </si>
  <si>
    <t>EMP-ID-908</t>
  </si>
  <si>
    <t>EMP-ID-909</t>
  </si>
  <si>
    <t>EMP-ID-910</t>
  </si>
  <si>
    <t>EMP-ID-911</t>
  </si>
  <si>
    <t>EMP-ID-912</t>
  </si>
  <si>
    <t>EMP-ID-913</t>
  </si>
  <si>
    <t>EMP-ID-914</t>
  </si>
  <si>
    <t>EMP-ID-915</t>
  </si>
  <si>
    <t>EMP-ID-916</t>
  </si>
  <si>
    <t>EMP-ID-917</t>
  </si>
  <si>
    <t>EMP-ID-918</t>
  </si>
  <si>
    <t>EMP-ID-919</t>
  </si>
  <si>
    <t>EMP-ID-920</t>
  </si>
  <si>
    <t>EMP-ID-921</t>
  </si>
  <si>
    <t>EMP-ID-922</t>
  </si>
  <si>
    <t>EMP-ID-923</t>
  </si>
  <si>
    <t>EMP-ID-924</t>
  </si>
  <si>
    <t>EMP-ID-925</t>
  </si>
  <si>
    <t>EMP-ID-926</t>
  </si>
  <si>
    <t>EMP-ID-927</t>
  </si>
  <si>
    <t>EMP-ID-928</t>
  </si>
  <si>
    <t>EMP-ID-929</t>
  </si>
  <si>
    <t>EMP-ID-930</t>
  </si>
  <si>
    <t>EMP-ID-931</t>
  </si>
  <si>
    <t>EMP-ID-932</t>
  </si>
  <si>
    <t>EMP-ID-933</t>
  </si>
  <si>
    <t>EMP-ID-934</t>
  </si>
  <si>
    <t>EMP-ID-935</t>
  </si>
  <si>
    <t>EMP-ID-936</t>
  </si>
  <si>
    <t>EMP-ID-937</t>
  </si>
  <si>
    <t>EMP-ID-938</t>
  </si>
  <si>
    <t>EMP-ID-939</t>
  </si>
  <si>
    <t>EMP-ID-940</t>
  </si>
  <si>
    <t>EMP-ID-941</t>
  </si>
  <si>
    <t>EMP-ID-942</t>
  </si>
  <si>
    <t>EMP-ID-943</t>
  </si>
  <si>
    <t>EMP-ID-944</t>
  </si>
  <si>
    <t>EMP-ID-945</t>
  </si>
  <si>
    <t>EMP-ID-946</t>
  </si>
  <si>
    <t>EMP-ID-947</t>
  </si>
  <si>
    <t>EMP-ID-948</t>
  </si>
  <si>
    <t>EMP-ID-949</t>
  </si>
  <si>
    <t>EMP-ID-950</t>
  </si>
  <si>
    <t>EMP-ID-951</t>
  </si>
  <si>
    <t>EMP-ID-952</t>
  </si>
  <si>
    <t>EMP-ID-953</t>
  </si>
  <si>
    <t>EMP-ID-954</t>
  </si>
  <si>
    <t>EMP-ID-955</t>
  </si>
  <si>
    <t>EMP-ID-956</t>
  </si>
  <si>
    <t>EMP-ID-957</t>
  </si>
  <si>
    <t>EMP-ID-958</t>
  </si>
  <si>
    <t>EMP-ID-959</t>
  </si>
  <si>
    <t>EMP-ID-960</t>
  </si>
  <si>
    <t>EMP-ID-961</t>
  </si>
  <si>
    <t>EMP-ID-962</t>
  </si>
  <si>
    <t>EMP-ID-963</t>
  </si>
  <si>
    <t>EMP-ID-964</t>
  </si>
  <si>
    <t>EMP-ID-965</t>
  </si>
  <si>
    <t>EMP-ID-966</t>
  </si>
  <si>
    <t>EMP-ID-967</t>
  </si>
  <si>
    <t>EMP-ID-968</t>
  </si>
  <si>
    <t>EMP-ID-969</t>
  </si>
  <si>
    <t>EMP-ID-970</t>
  </si>
  <si>
    <t>EMP-ID-971</t>
  </si>
  <si>
    <t>EMP-ID-972</t>
  </si>
  <si>
    <t>EMP-ID-973</t>
  </si>
  <si>
    <t>EMP-ID-974</t>
  </si>
  <si>
    <t>EMP-ID-975</t>
  </si>
  <si>
    <t>EMP-ID-976</t>
  </si>
  <si>
    <t>EMP-ID-977</t>
  </si>
  <si>
    <t>EMP-ID-978</t>
  </si>
  <si>
    <t>EMP-ID-979</t>
  </si>
  <si>
    <t>EMP-ID-980</t>
  </si>
  <si>
    <t>EMP-ID-981</t>
  </si>
  <si>
    <t>EMP-ID-982</t>
  </si>
  <si>
    <t>EMP-ID-983</t>
  </si>
  <si>
    <t>EMP-ID-984</t>
  </si>
  <si>
    <t>EMP-ID-985</t>
  </si>
  <si>
    <t>EMP-ID-986</t>
  </si>
  <si>
    <t>EMP-ID-987</t>
  </si>
  <si>
    <t>EMP-ID-988</t>
  </si>
  <si>
    <t>EMP-ID-989</t>
  </si>
  <si>
    <t>EMP-ID-990</t>
  </si>
  <si>
    <t>EMP-ID-991</t>
  </si>
  <si>
    <t>EMP-ID-992</t>
  </si>
  <si>
    <t>EMP-ID-993</t>
  </si>
  <si>
    <t>EMP-ID-994</t>
  </si>
  <si>
    <t>EMP-ID-995</t>
  </si>
  <si>
    <t>EMP-ID-996</t>
  </si>
  <si>
    <t>EMP-ID-997</t>
  </si>
  <si>
    <t>EMP-ID-998</t>
  </si>
  <si>
    <t>EMP-ID-999</t>
  </si>
  <si>
    <t>EMP-ID-1000</t>
  </si>
  <si>
    <t>EMP-ID-1001</t>
  </si>
  <si>
    <t>EMP-ID-1002</t>
  </si>
  <si>
    <t>EMP-ID-1003</t>
  </si>
  <si>
    <t>EMP-ID-1004</t>
  </si>
  <si>
    <t>EMP-ID-1005</t>
  </si>
  <si>
    <t>EMP-ID-1006</t>
  </si>
  <si>
    <t>EMP-ID-1007</t>
  </si>
  <si>
    <t>EMP-ID-1008</t>
  </si>
  <si>
    <t>EMP-ID-1009</t>
  </si>
  <si>
    <t>EMP-ID-1010</t>
  </si>
  <si>
    <t>EMP-ID-1011</t>
  </si>
  <si>
    <t>EMP-ID-1012</t>
  </si>
  <si>
    <t>EMP-ID-1013</t>
  </si>
  <si>
    <t>EMP-ID-1014</t>
  </si>
  <si>
    <t>EMP-ID-1015</t>
  </si>
  <si>
    <t>EMP-ID-1016</t>
  </si>
  <si>
    <t>EMP-ID-1017</t>
  </si>
  <si>
    <t>EMP-ID-1018</t>
  </si>
  <si>
    <t>EMP-ID-1019</t>
  </si>
  <si>
    <t>EMP-ID-1020</t>
  </si>
  <si>
    <t>EMP-ID-1021</t>
  </si>
  <si>
    <t>EMP-ID-1022</t>
  </si>
  <si>
    <t>EMP-ID-1023</t>
  </si>
  <si>
    <t>EMP-ID-1024</t>
  </si>
  <si>
    <t>EMP-ID-1025</t>
  </si>
  <si>
    <t>EMP-ID-1026</t>
  </si>
  <si>
    <t>EMP-ID-1027</t>
  </si>
  <si>
    <t>EMP-ID-1028</t>
  </si>
  <si>
    <t>EMP-ID-1029</t>
  </si>
  <si>
    <t>EMP-ID-1030</t>
  </si>
  <si>
    <t>EMP-ID-1031</t>
  </si>
  <si>
    <t>EMP-ID-1032</t>
  </si>
  <si>
    <t>EMP-ID-1033</t>
  </si>
  <si>
    <t>EMP-ID-1034</t>
  </si>
  <si>
    <t>EMP-ID-1035</t>
  </si>
  <si>
    <t>EMP-ID-1036</t>
  </si>
  <si>
    <t>EMP-ID-1037</t>
  </si>
  <si>
    <t>EMP-ID-1038</t>
  </si>
  <si>
    <t>EMP-ID-1039</t>
  </si>
  <si>
    <t>EMP-ID-1040</t>
  </si>
  <si>
    <t>EMP-ID-1041</t>
  </si>
  <si>
    <t>EMP-ID-1042</t>
  </si>
  <si>
    <t>EMP-ID-1043</t>
  </si>
  <si>
    <t>EMP-ID-1044</t>
  </si>
  <si>
    <t>EMP-ID-1045</t>
  </si>
  <si>
    <t>EMP-ID-1046</t>
  </si>
  <si>
    <t>EMP-ID-1047</t>
  </si>
  <si>
    <t>EMP-ID-1048</t>
  </si>
  <si>
    <t>EMP-ID-1049</t>
  </si>
  <si>
    <t>EMP-ID-1050</t>
  </si>
  <si>
    <t>EMP-ID-1051</t>
  </si>
  <si>
    <t>EMP-ID-1052</t>
  </si>
  <si>
    <t>EMP-ID-1053</t>
  </si>
  <si>
    <t>EMP-ID-1054</t>
  </si>
  <si>
    <t>EMP-ID-1055</t>
  </si>
  <si>
    <t>EMP-ID-1056</t>
  </si>
  <si>
    <t>EMP-ID-1057</t>
  </si>
  <si>
    <t>EMP-ID-1058</t>
  </si>
  <si>
    <t>EMP-ID-1059</t>
  </si>
  <si>
    <t>EMP-ID-1060</t>
  </si>
  <si>
    <t>EMP-ID-1061</t>
  </si>
  <si>
    <t>EMP-ID-1062</t>
  </si>
  <si>
    <t>EMP-ID-1063</t>
  </si>
  <si>
    <t>EMP-ID-1064</t>
  </si>
  <si>
    <t>EMP-ID-1065</t>
  </si>
  <si>
    <t>EMP-ID-1066</t>
  </si>
  <si>
    <t>EMP-ID-1067</t>
  </si>
  <si>
    <t>EMP-ID-1068</t>
  </si>
  <si>
    <t>EMP-ID-1069</t>
  </si>
  <si>
    <t>EMP-ID-1070</t>
  </si>
  <si>
    <t>EMP-ID-1071</t>
  </si>
  <si>
    <t>EMP-ID-1072</t>
  </si>
  <si>
    <t>EMP-ID-1073</t>
  </si>
  <si>
    <t>EMP-ID-1074</t>
  </si>
  <si>
    <t>EMP-ID-1075</t>
  </si>
  <si>
    <t>EMP-ID-1076</t>
  </si>
  <si>
    <t>EMP-ID-1077</t>
  </si>
  <si>
    <t>EMP-ID-1078</t>
  </si>
  <si>
    <t>EMP-ID-1079</t>
  </si>
  <si>
    <t>EMP-ID-1080</t>
  </si>
  <si>
    <t>EMP-ID-1081</t>
  </si>
  <si>
    <t>EMP-ID-1082</t>
  </si>
  <si>
    <t>EMP-ID-1083</t>
  </si>
  <si>
    <t>EMP-ID-1084</t>
  </si>
  <si>
    <t>EMP-ID-1085</t>
  </si>
  <si>
    <t>EMP-ID-1086</t>
  </si>
  <si>
    <t>EMP-ID-1087</t>
  </si>
  <si>
    <t>EMP-ID-1088</t>
  </si>
  <si>
    <t>EMP-ID-1089</t>
  </si>
  <si>
    <t>EMP-ID-1090</t>
  </si>
  <si>
    <t>EMP-ID-1091</t>
  </si>
  <si>
    <t>EMP-ID-1092</t>
  </si>
  <si>
    <t>EMP-ID-1093</t>
  </si>
  <si>
    <t>EMP-ID-1094</t>
  </si>
  <si>
    <t>EMP-ID-1095</t>
  </si>
  <si>
    <t>EMP-ID-1096</t>
  </si>
  <si>
    <t>EMP-ID-1097</t>
  </si>
  <si>
    <t>EMP-ID-1098</t>
  </si>
  <si>
    <t>EMP-ID-1099</t>
  </si>
  <si>
    <t>EMP-ID-1100</t>
  </si>
  <si>
    <t>EMP-ID-1101</t>
  </si>
  <si>
    <t>EMP-ID-1102</t>
  </si>
  <si>
    <t>EMP-ID-1103</t>
  </si>
  <si>
    <t>EMP-ID-1104</t>
  </si>
  <si>
    <t>EMP-ID-1105</t>
  </si>
  <si>
    <t>EMP-ID-1106</t>
  </si>
  <si>
    <t>EMP-ID-1107</t>
  </si>
  <si>
    <t>EMP-ID-1108</t>
  </si>
  <si>
    <t>EMP-ID-1109</t>
  </si>
  <si>
    <t>EMP-ID-1110</t>
  </si>
  <si>
    <t>EMP-ID-1111</t>
  </si>
  <si>
    <t>EMP-ID-1112</t>
  </si>
  <si>
    <t>EMP-ID-1113</t>
  </si>
  <si>
    <t>EMP-ID-1114</t>
  </si>
  <si>
    <t>EMP-ID-1115</t>
  </si>
  <si>
    <t>EMP-ID-1116</t>
  </si>
  <si>
    <t>EMP-ID-1117</t>
  </si>
  <si>
    <t>EMP-ID-1118</t>
  </si>
  <si>
    <t>EMP-ID-1119</t>
  </si>
  <si>
    <t>EMP-ID-1120</t>
  </si>
  <si>
    <t>EMP-ID-1121</t>
  </si>
  <si>
    <t>EMP-ID-1122</t>
  </si>
  <si>
    <t>EMP-ID-1123</t>
  </si>
  <si>
    <t>EMP-ID-1124</t>
  </si>
  <si>
    <t>EMP-ID-1125</t>
  </si>
  <si>
    <t>EMP-ID-1126</t>
  </si>
  <si>
    <t>EMP-ID-1127</t>
  </si>
  <si>
    <t>EMP-ID-1128</t>
  </si>
  <si>
    <t>EMP-ID-1129</t>
  </si>
  <si>
    <t>EMP-ID-1130</t>
  </si>
  <si>
    <t>EMP-ID-1131</t>
  </si>
  <si>
    <t>EMP-ID-1132</t>
  </si>
  <si>
    <t>EMP-ID-1133</t>
  </si>
  <si>
    <t>EMP-ID-1134</t>
  </si>
  <si>
    <t>EMP-ID-1135</t>
  </si>
  <si>
    <t>EMP-ID-1136</t>
  </si>
  <si>
    <t>EMP-ID-1137</t>
  </si>
  <si>
    <t>EMP-ID-1138</t>
  </si>
  <si>
    <t>EMP-ID-1139</t>
  </si>
  <si>
    <t>EMP-ID-1140</t>
  </si>
  <si>
    <t>EMP-ID-1141</t>
  </si>
  <si>
    <t>EMP-ID-1142</t>
  </si>
  <si>
    <t>EMP-ID-1143</t>
  </si>
  <si>
    <t>EMP-ID-1144</t>
  </si>
  <si>
    <t>EMP-ID-1145</t>
  </si>
  <si>
    <t>EMP-ID-1146</t>
  </si>
  <si>
    <t>EMP-ID-1147</t>
  </si>
  <si>
    <t>EMP-ID-1148</t>
  </si>
  <si>
    <t>EMP-ID-1149</t>
  </si>
  <si>
    <t>EMP-ID-1150</t>
  </si>
  <si>
    <t>EMP-ID-1151</t>
  </si>
  <si>
    <t>EMP-ID-1152</t>
  </si>
  <si>
    <t>EMP-ID-1153</t>
  </si>
  <si>
    <t>EMP-ID-1154</t>
  </si>
  <si>
    <t>EMP-ID-1155</t>
  </si>
  <si>
    <t>EMP-ID-1156</t>
  </si>
  <si>
    <t>EMP-ID-1157</t>
  </si>
  <si>
    <t>EMP-ID-1158</t>
  </si>
  <si>
    <t>EMP-ID-1159</t>
  </si>
  <si>
    <t>EMP-ID-1160</t>
  </si>
  <si>
    <t>EMP-ID-1161</t>
  </si>
  <si>
    <t>EMP-ID-1162</t>
  </si>
  <si>
    <t>EMP-ID-1163</t>
  </si>
  <si>
    <t>EMP-ID-1164</t>
  </si>
  <si>
    <t>EMP-ID-1165</t>
  </si>
  <si>
    <t>EMP-ID-1166</t>
  </si>
  <si>
    <t>EMP-ID-1167</t>
  </si>
  <si>
    <t>EMP-ID-1168</t>
  </si>
  <si>
    <t>EMP-ID-1169</t>
  </si>
  <si>
    <t>EMP-ID-1170</t>
  </si>
  <si>
    <t>EMP-ID-1171</t>
  </si>
  <si>
    <t>EMP-ID-1172</t>
  </si>
  <si>
    <t>EMP-ID-1173</t>
  </si>
  <si>
    <t>EMP-ID-1174</t>
  </si>
  <si>
    <t>EMP-ID-1175</t>
  </si>
  <si>
    <t>EMP-ID-1176</t>
  </si>
  <si>
    <t>EMP-ID-1177</t>
  </si>
  <si>
    <t>EMP-ID-1178</t>
  </si>
  <si>
    <t>EMP-ID-1179</t>
  </si>
  <si>
    <t>EMP-ID-1180</t>
  </si>
  <si>
    <t>EMP-ID-1181</t>
  </si>
  <si>
    <t>EMP-ID-1182</t>
  </si>
  <si>
    <t>EMP-ID-1183</t>
  </si>
  <si>
    <t>EMP-ID-1184</t>
  </si>
  <si>
    <t>EMP-ID-1185</t>
  </si>
  <si>
    <t>EMP-ID-1186</t>
  </si>
  <si>
    <t>EMP-ID-1187</t>
  </si>
  <si>
    <t>EMP-ID-1188</t>
  </si>
  <si>
    <t>EMP-ID-1189</t>
  </si>
  <si>
    <t>EMP-ID-1190</t>
  </si>
  <si>
    <t>EMP-ID-1191</t>
  </si>
  <si>
    <t>EMP-ID-1192</t>
  </si>
  <si>
    <t>EMP-ID-1193</t>
  </si>
  <si>
    <t>EMP-ID-1194</t>
  </si>
  <si>
    <t>EMP-ID-1195</t>
  </si>
  <si>
    <t>EMP-ID-1196</t>
  </si>
  <si>
    <t>EMP-ID-1197</t>
  </si>
  <si>
    <t>EMP-ID-1198</t>
  </si>
  <si>
    <t>EMP-ID-1199</t>
  </si>
  <si>
    <t>EMP-ID-1200</t>
  </si>
  <si>
    <t>EMP-ID-1201</t>
  </si>
  <si>
    <t>EMP-ID-1202</t>
  </si>
  <si>
    <t>EMP-ID-1203</t>
  </si>
  <si>
    <t>EMP-ID-1204</t>
  </si>
  <si>
    <t>EMP-ID-1205</t>
  </si>
  <si>
    <t>EMP-ID-1206</t>
  </si>
  <si>
    <t>EMP-ID-1207</t>
  </si>
  <si>
    <t>EMP-ID-1208</t>
  </si>
  <si>
    <t>EMP-ID-1209</t>
  </si>
  <si>
    <t>EMP-ID-1210</t>
  </si>
  <si>
    <t>EMP-ID-1211</t>
  </si>
  <si>
    <t>EMP-ID-1212</t>
  </si>
  <si>
    <t>EMP-ID-1213</t>
  </si>
  <si>
    <t>EMP-ID-1214</t>
  </si>
  <si>
    <t>EMP-ID-1215</t>
  </si>
  <si>
    <t>EMP-ID-1216</t>
  </si>
  <si>
    <t>EMP-ID-1217</t>
  </si>
  <si>
    <t>EMP-ID-1218</t>
  </si>
  <si>
    <t>EMP-ID-1219</t>
  </si>
  <si>
    <t>EMP-ID-1220</t>
  </si>
  <si>
    <t>EMP-ID-1221</t>
  </si>
  <si>
    <t>EMP-ID-1222</t>
  </si>
  <si>
    <t>EMP-ID-1223</t>
  </si>
  <si>
    <t>EMP-ID-1224</t>
  </si>
  <si>
    <t>EMP-ID-1225</t>
  </si>
  <si>
    <t>EMP-ID-1226</t>
  </si>
  <si>
    <t>EMP-ID-1227</t>
  </si>
  <si>
    <t>EMP-ID-1228</t>
  </si>
  <si>
    <t>EMP-ID-1229</t>
  </si>
  <si>
    <t>EMP-ID-1230</t>
  </si>
  <si>
    <t>EMP-ID-1231</t>
  </si>
  <si>
    <t>EMP-ID-1232</t>
  </si>
  <si>
    <t>EMP-ID-1233</t>
  </si>
  <si>
    <t>EMP-ID-1234</t>
  </si>
  <si>
    <t>EMP-ID-1235</t>
  </si>
  <si>
    <t>EMP-ID-1236</t>
  </si>
  <si>
    <t>EMP-ID-1237</t>
  </si>
  <si>
    <t>EMP-ID-1238</t>
  </si>
  <si>
    <t>EMP-ID-1239</t>
  </si>
  <si>
    <t>EMP-ID-1240</t>
  </si>
  <si>
    <t>EMP-ID-1241</t>
  </si>
  <si>
    <t>EMP-ID-1242</t>
  </si>
  <si>
    <t>EMP-ID-1243</t>
  </si>
  <si>
    <t>EMP-ID-1244</t>
  </si>
  <si>
    <t>EMP-ID-1245</t>
  </si>
  <si>
    <t>EMP-ID-1246</t>
  </si>
  <si>
    <t>EMP-ID-1247</t>
  </si>
  <si>
    <t>EMP-ID-1248</t>
  </si>
  <si>
    <t>EMP-ID-1249</t>
  </si>
  <si>
    <t>EMP-ID-1250</t>
  </si>
  <si>
    <t>EMP-ID-1251</t>
  </si>
  <si>
    <t>EMP-ID-1252</t>
  </si>
  <si>
    <t>EMP-ID-1253</t>
  </si>
  <si>
    <t>EMP-ID-1254</t>
  </si>
  <si>
    <t>EMP-ID-1255</t>
  </si>
  <si>
    <t>EMP-ID-1256</t>
  </si>
  <si>
    <t>EMP-ID-1257</t>
  </si>
  <si>
    <t>EMP-ID-1258</t>
  </si>
  <si>
    <t>EMP-ID-1259</t>
  </si>
  <si>
    <t>EMP-ID-1260</t>
  </si>
  <si>
    <t>EMP-ID-1261</t>
  </si>
  <si>
    <t>EMP-ID-1262</t>
  </si>
  <si>
    <t>EMP-ID-1263</t>
  </si>
  <si>
    <t>EMP-ID-1264</t>
  </si>
  <si>
    <t>EMP-ID-1265</t>
  </si>
  <si>
    <t>EMP-ID-1266</t>
  </si>
  <si>
    <t>EMP-ID-1267</t>
  </si>
  <si>
    <t>EMP-ID-1268</t>
  </si>
  <si>
    <t>EMP-ID-1269</t>
  </si>
  <si>
    <t>EMP-ID-1270</t>
  </si>
  <si>
    <t>EMP-ID-1271</t>
  </si>
  <si>
    <t>EMP-ID-1272</t>
  </si>
  <si>
    <t>EMP-ID-1273</t>
  </si>
  <si>
    <t>EMP-ID-1274</t>
  </si>
  <si>
    <t>EMP-ID-1275</t>
  </si>
  <si>
    <t>EMP-ID-1276</t>
  </si>
  <si>
    <t>EMP-ID-1277</t>
  </si>
  <si>
    <t>EMP-ID-1278</t>
  </si>
  <si>
    <t>EMP-ID-1279</t>
  </si>
  <si>
    <t>EMP-ID-1280</t>
  </si>
  <si>
    <t>EMP-ID-1281</t>
  </si>
  <si>
    <t>EMP-ID-1282</t>
  </si>
  <si>
    <t>EMP-ID-1283</t>
  </si>
  <si>
    <t>EMP-ID-1284</t>
  </si>
  <si>
    <t>EMP-ID-1285</t>
  </si>
  <si>
    <t>EMP-ID-1286</t>
  </si>
  <si>
    <t>EMP-ID-1287</t>
  </si>
  <si>
    <t>EMP-ID-1288</t>
  </si>
  <si>
    <t>EMP-ID-1289</t>
  </si>
  <si>
    <t>EMP-ID-1290</t>
  </si>
  <si>
    <t>EMP-ID-1291</t>
  </si>
  <si>
    <t>EMP-ID-1292</t>
  </si>
  <si>
    <t>EMP-ID-1293</t>
  </si>
  <si>
    <t>EMP-ID-1294</t>
  </si>
  <si>
    <t>EMP-ID-1295</t>
  </si>
  <si>
    <t>EMP-ID-1296</t>
  </si>
  <si>
    <t>EMP-ID-1297</t>
  </si>
  <si>
    <t>EMP-ID-1298</t>
  </si>
  <si>
    <t>EMP-ID-1299</t>
  </si>
  <si>
    <t>EMP-ID-1300</t>
  </si>
  <si>
    <t>EMP-ID-1301</t>
  </si>
  <si>
    <t>EMP-ID-1302</t>
  </si>
  <si>
    <t>EMP-ID-1303</t>
  </si>
  <si>
    <t>Total revenue</t>
  </si>
  <si>
    <t>Sum of Total revenue</t>
  </si>
  <si>
    <t>Total quantity sold</t>
  </si>
  <si>
    <t>Sum of Quantity</t>
  </si>
  <si>
    <t>Total commission</t>
  </si>
  <si>
    <t>Sum of Commission</t>
  </si>
  <si>
    <t>Commission %</t>
  </si>
  <si>
    <t>Total quantty sold</t>
  </si>
  <si>
    <t>Top selling items</t>
  </si>
  <si>
    <t>Total items</t>
  </si>
  <si>
    <t>Row Labels</t>
  </si>
  <si>
    <t>Grand Total</t>
  </si>
  <si>
    <t>Pivot table and charts</t>
  </si>
  <si>
    <t>Daily sales trends</t>
  </si>
  <si>
    <t>Sales by represntaive</t>
  </si>
  <si>
    <t>Sales by items</t>
  </si>
  <si>
    <t>Sales by state</t>
  </si>
  <si>
    <t>commission bt representive</t>
  </si>
  <si>
    <t>Employee Sales Performance Dashboard</t>
  </si>
  <si>
    <t>Total Quantity sold</t>
  </si>
  <si>
    <t>Total Items</t>
  </si>
  <si>
    <t>Graphs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</si>
</sst>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color theme="1"/>
      <name val="Aptos Narrow"/>
      <family val="2"/>
      <scheme val="minor"/>
    </font>
    <font>
      <b/>
      <sz val="12"/>
      <color theme="1"/>
      <name val="Aptos Narrow"/>
      <family val="2"/>
      <scheme val="minor"/>
    </font>
    <font>
      <b/>
      <sz val="14"/>
      <color theme="1"/>
      <name val="Aptos Narrow"/>
      <family val="2"/>
      <scheme val="minor"/>
    </font>
    <font>
      <b/>
      <i/>
      <u/>
      <sz val="24"/>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7"/>
        <bgColor indexed="64"/>
      </patternFill>
    </fill>
  </fills>
  <borders count="1">
    <border>
      <left/>
      <right/>
      <top/>
      <bottom/>
      <diagonal/>
    </border>
  </borders>
  <cellStyleXfs count="1">
    <xf numFmtId="0" fontId="0" fillId="0" borderId="0"/>
  </cellStyleXfs>
  <cellXfs count="15">
    <xf numFmtId="0" fontId="0" fillId="0" borderId="0" xfId="0"/>
    <xf numFmtId="0" fontId="0" fillId="0" borderId="0" xfId="0" applyAlignment="1">
      <alignment horizontal="center"/>
    </xf>
    <xf numFmtId="14" fontId="0" fillId="0" borderId="0" xfId="0" applyNumberFormat="1" applyAlignment="1">
      <alignment horizontal="center"/>
    </xf>
    <xf numFmtId="0" fontId="0" fillId="0" borderId="0" xfId="0" pivotButton="1"/>
    <xf numFmtId="0" fontId="0" fillId="0" borderId="0" xfId="0" applyAlignment="1">
      <alignment horizontal="left"/>
    </xf>
    <xf numFmtId="14" fontId="0" fillId="0" borderId="0" xfId="0" applyNumberFormat="1" applyAlignment="1">
      <alignment horizontal="left"/>
    </xf>
    <xf numFmtId="0" fontId="0" fillId="2" borderId="0" xfId="0" applyFill="1"/>
    <xf numFmtId="0" fontId="1" fillId="2" borderId="0" xfId="0" applyFont="1" applyFill="1"/>
    <xf numFmtId="0" fontId="1" fillId="0" borderId="0" xfId="0" applyFont="1"/>
    <xf numFmtId="0" fontId="4" fillId="3" borderId="0" xfId="0" applyFont="1" applyFill="1" applyAlignment="1">
      <alignment horizontal="center"/>
    </xf>
    <xf numFmtId="0" fontId="1" fillId="2" borderId="0" xfId="0" applyFont="1" applyFill="1" applyAlignment="1">
      <alignment horizontal="center"/>
    </xf>
    <xf numFmtId="0" fontId="0" fillId="2" borderId="0" xfId="0" applyFill="1" applyAlignment="1">
      <alignment horizontal="center"/>
    </xf>
    <xf numFmtId="0" fontId="1" fillId="0" borderId="0" xfId="0" applyFont="1" applyAlignment="1">
      <alignment horizontal="center"/>
    </xf>
    <xf numFmtId="0" fontId="2" fillId="3" borderId="0" xfId="0" applyFont="1" applyFill="1" applyAlignment="1">
      <alignment horizontal="center"/>
    </xf>
    <xf numFmtId="0" fontId="3" fillId="0" borderId="0" xfId="0" applyFont="1" applyAlignment="1">
      <alignment horizontal="center"/>
    </xf>
  </cellXfs>
  <cellStyles count="1">
    <cellStyle name="Normal" xfId="0" builtinId="0"/>
  </cellStyles>
  <dxfs count="11">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onnections" Target="connections.xml"/><Relationship Id="rId5" Type="http://schemas.openxmlformats.org/officeDocument/2006/relationships/pivotCacheDefinition" Target="pivotCache/pivotCacheDefinition1.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sales.xlsx]KPI!PivotTable7</c:name>
    <c:fmtId val="1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KPI!$B$23</c:f>
              <c:strCache>
                <c:ptCount val="1"/>
                <c:pt idx="0">
                  <c:v>Total</c:v>
                </c:pt>
              </c:strCache>
            </c:strRef>
          </c:tx>
          <c:spPr>
            <a:ln w="28575" cap="rnd">
              <a:solidFill>
                <a:schemeClr val="accent1"/>
              </a:solidFill>
              <a:round/>
            </a:ln>
            <a:effectLst/>
          </c:spPr>
          <c:marker>
            <c:symbol val="none"/>
          </c:marker>
          <c:cat>
            <c:strRef>
              <c:f>KPI!$A$24:$A$25</c:f>
              <c:strCache>
                <c:ptCount val="1"/>
                <c:pt idx="0">
                  <c:v>07-07-2018</c:v>
                </c:pt>
              </c:strCache>
            </c:strRef>
          </c:cat>
          <c:val>
            <c:numRef>
              <c:f>KPI!$B$24:$B$25</c:f>
              <c:numCache>
                <c:formatCode>General</c:formatCode>
                <c:ptCount val="1"/>
                <c:pt idx="0">
                  <c:v>240</c:v>
                </c:pt>
              </c:numCache>
            </c:numRef>
          </c:val>
          <c:smooth val="0"/>
          <c:extLst>
            <c:ext xmlns:c16="http://schemas.microsoft.com/office/drawing/2014/chart" uri="{C3380CC4-5D6E-409C-BE32-E72D297353CC}">
              <c16:uniqueId val="{00000000-7AF7-409D-B29A-6207966F0EBB}"/>
            </c:ext>
          </c:extLst>
        </c:ser>
        <c:dLbls>
          <c:showLegendKey val="0"/>
          <c:showVal val="0"/>
          <c:showCatName val="0"/>
          <c:showSerName val="0"/>
          <c:showPercent val="0"/>
          <c:showBubbleSize val="0"/>
        </c:dLbls>
        <c:smooth val="0"/>
        <c:axId val="2049188208"/>
        <c:axId val="2061428880"/>
      </c:lineChart>
      <c:catAx>
        <c:axId val="20491882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428880"/>
        <c:crosses val="autoZero"/>
        <c:auto val="1"/>
        <c:lblAlgn val="ctr"/>
        <c:lblOffset val="100"/>
        <c:noMultiLvlLbl val="0"/>
      </c:catAx>
      <c:valAx>
        <c:axId val="20614288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188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sales.xlsx]KPI!PivotTable8</c:name>
    <c:fmtId val="7"/>
  </c:pivotSource>
  <c:chart>
    <c:title>
      <c:layout>
        <c:manualLayout>
          <c:xMode val="edge"/>
          <c:yMode val="edge"/>
          <c:x val="2.6616998654205037E-2"/>
          <c:y val="4.3020284716066143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KPI!$E$23</c:f>
              <c:strCache>
                <c:ptCount val="1"/>
                <c:pt idx="0">
                  <c:v>Total</c:v>
                </c:pt>
              </c:strCache>
            </c:strRef>
          </c:tx>
          <c:spPr>
            <a:solidFill>
              <a:schemeClr val="accent1"/>
            </a:solidFill>
            <a:ln>
              <a:noFill/>
            </a:ln>
            <a:effectLst/>
            <a:sp3d/>
          </c:spPr>
          <c:invertIfNegative val="0"/>
          <c:cat>
            <c:strRef>
              <c:f>KPI!$D$24:$D$25</c:f>
              <c:strCache>
                <c:ptCount val="1"/>
                <c:pt idx="0">
                  <c:v>Laura</c:v>
                </c:pt>
              </c:strCache>
            </c:strRef>
          </c:cat>
          <c:val>
            <c:numRef>
              <c:f>KPI!$E$24:$E$25</c:f>
              <c:numCache>
                <c:formatCode>General</c:formatCode>
                <c:ptCount val="1"/>
                <c:pt idx="0">
                  <c:v>240</c:v>
                </c:pt>
              </c:numCache>
            </c:numRef>
          </c:val>
          <c:extLst>
            <c:ext xmlns:c16="http://schemas.microsoft.com/office/drawing/2014/chart" uri="{C3380CC4-5D6E-409C-BE32-E72D297353CC}">
              <c16:uniqueId val="{00000000-274C-41DB-B5E8-9326D9371A38}"/>
            </c:ext>
          </c:extLst>
        </c:ser>
        <c:dLbls>
          <c:showLegendKey val="0"/>
          <c:showVal val="0"/>
          <c:showCatName val="0"/>
          <c:showSerName val="0"/>
          <c:showPercent val="0"/>
          <c:showBubbleSize val="0"/>
        </c:dLbls>
        <c:gapWidth val="150"/>
        <c:shape val="box"/>
        <c:axId val="2049069424"/>
        <c:axId val="2061430800"/>
        <c:axId val="0"/>
      </c:bar3DChart>
      <c:catAx>
        <c:axId val="2049069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1430800"/>
        <c:crosses val="autoZero"/>
        <c:auto val="1"/>
        <c:lblAlgn val="ctr"/>
        <c:lblOffset val="100"/>
        <c:noMultiLvlLbl val="0"/>
      </c:catAx>
      <c:valAx>
        <c:axId val="20614308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49069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sales.xlsx]KPI!PivotTable9</c:name>
    <c:fmtId val="1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doughnutChart>
        <c:varyColors val="1"/>
        <c:ser>
          <c:idx val="0"/>
          <c:order val="0"/>
          <c:tx>
            <c:strRef>
              <c:f>KPI!$I$23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5B57-47C1-B946-8B0B287483FB}"/>
              </c:ext>
            </c:extLst>
          </c:dPt>
          <c:dPt>
            <c:idx val="1"/>
            <c:bubble3D val="0"/>
            <c:spPr>
              <a:solidFill>
                <a:schemeClr val="accent2"/>
              </a:solidFill>
              <a:ln>
                <a:noFill/>
              </a:ln>
              <a:effectLst/>
            </c:spPr>
            <c:extLst>
              <c:ext xmlns:c16="http://schemas.microsoft.com/office/drawing/2014/chart" uri="{C3380CC4-5D6E-409C-BE32-E72D297353CC}">
                <c16:uniqueId val="{00000003-5B57-47C1-B946-8B0B287483FB}"/>
              </c:ext>
            </c:extLst>
          </c:dPt>
          <c:dPt>
            <c:idx val="2"/>
            <c:bubble3D val="0"/>
            <c:spPr>
              <a:solidFill>
                <a:schemeClr val="accent3"/>
              </a:solidFill>
              <a:ln>
                <a:noFill/>
              </a:ln>
              <a:effectLst/>
            </c:spPr>
            <c:extLst>
              <c:ext xmlns:c16="http://schemas.microsoft.com/office/drawing/2014/chart" uri="{C3380CC4-5D6E-409C-BE32-E72D297353CC}">
                <c16:uniqueId val="{00000005-5B57-47C1-B946-8B0B287483FB}"/>
              </c:ext>
            </c:extLst>
          </c:dPt>
          <c:dPt>
            <c:idx val="3"/>
            <c:bubble3D val="0"/>
            <c:spPr>
              <a:solidFill>
                <a:schemeClr val="accent4"/>
              </a:solidFill>
              <a:ln>
                <a:noFill/>
              </a:ln>
              <a:effectLst/>
            </c:spPr>
            <c:extLst>
              <c:ext xmlns:c16="http://schemas.microsoft.com/office/drawing/2014/chart" uri="{C3380CC4-5D6E-409C-BE32-E72D297353CC}">
                <c16:uniqueId val="{00000007-5B57-47C1-B946-8B0B287483FB}"/>
              </c:ext>
            </c:extLst>
          </c:dPt>
          <c:dPt>
            <c:idx val="4"/>
            <c:bubble3D val="0"/>
            <c:spPr>
              <a:solidFill>
                <a:schemeClr val="accent5"/>
              </a:solidFill>
              <a:ln>
                <a:noFill/>
              </a:ln>
              <a:effectLst/>
            </c:spPr>
            <c:extLst>
              <c:ext xmlns:c16="http://schemas.microsoft.com/office/drawing/2014/chart" uri="{C3380CC4-5D6E-409C-BE32-E72D297353CC}">
                <c16:uniqueId val="{00000009-5B57-47C1-B946-8B0B287483FB}"/>
              </c:ext>
            </c:extLst>
          </c:dPt>
          <c:cat>
            <c:strRef>
              <c:f>KPI!$H$24:$H$25</c:f>
              <c:strCache>
                <c:ptCount val="1"/>
                <c:pt idx="0">
                  <c:v>White Board</c:v>
                </c:pt>
              </c:strCache>
            </c:strRef>
          </c:cat>
          <c:val>
            <c:numRef>
              <c:f>KPI!$I$24:$I$25</c:f>
              <c:numCache>
                <c:formatCode>General</c:formatCode>
                <c:ptCount val="1"/>
                <c:pt idx="0">
                  <c:v>240</c:v>
                </c:pt>
              </c:numCache>
            </c:numRef>
          </c:val>
          <c:extLst>
            <c:ext xmlns:c16="http://schemas.microsoft.com/office/drawing/2014/chart" uri="{C3380CC4-5D6E-409C-BE32-E72D297353CC}">
              <c16:uniqueId val="{0000000A-5B57-47C1-B946-8B0B287483FB}"/>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sales.xlsx]KPI!PivotTable10</c:name>
    <c:fmtId val="10"/>
  </c:pivotSource>
  <c:chart>
    <c:title>
      <c:layout>
        <c:manualLayout>
          <c:xMode val="edge"/>
          <c:yMode val="edge"/>
          <c:x val="0.52704855643044624"/>
          <c:y val="3.608923884514437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KPI!$L$23</c:f>
              <c:strCache>
                <c:ptCount val="1"/>
                <c:pt idx="0">
                  <c:v>Total</c:v>
                </c:pt>
              </c:strCache>
            </c:strRef>
          </c:tx>
          <c:spPr>
            <a:solidFill>
              <a:schemeClr val="accent1"/>
            </a:solidFill>
            <a:ln>
              <a:noFill/>
            </a:ln>
            <a:effectLst/>
            <a:sp3d/>
          </c:spPr>
          <c:invertIfNegative val="0"/>
          <c:cat>
            <c:strRef>
              <c:f>KPI!$K$24:$K$25</c:f>
              <c:strCache>
                <c:ptCount val="1"/>
                <c:pt idx="0">
                  <c:v>Kerala</c:v>
                </c:pt>
              </c:strCache>
            </c:strRef>
          </c:cat>
          <c:val>
            <c:numRef>
              <c:f>KPI!$L$24:$L$25</c:f>
              <c:numCache>
                <c:formatCode>General</c:formatCode>
                <c:ptCount val="1"/>
                <c:pt idx="0">
                  <c:v>240</c:v>
                </c:pt>
              </c:numCache>
            </c:numRef>
          </c:val>
          <c:extLst>
            <c:ext xmlns:c16="http://schemas.microsoft.com/office/drawing/2014/chart" uri="{C3380CC4-5D6E-409C-BE32-E72D297353CC}">
              <c16:uniqueId val="{00000000-8C33-463F-B696-6979CEAABF9D}"/>
            </c:ext>
          </c:extLst>
        </c:ser>
        <c:dLbls>
          <c:showLegendKey val="0"/>
          <c:showVal val="0"/>
          <c:showCatName val="0"/>
          <c:showSerName val="0"/>
          <c:showPercent val="0"/>
          <c:showBubbleSize val="0"/>
        </c:dLbls>
        <c:gapWidth val="150"/>
        <c:shape val="box"/>
        <c:axId val="1142971088"/>
        <c:axId val="1969928048"/>
        <c:axId val="1836743568"/>
      </c:bar3DChart>
      <c:catAx>
        <c:axId val="11429710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928048"/>
        <c:crosses val="autoZero"/>
        <c:auto val="1"/>
        <c:lblAlgn val="ctr"/>
        <c:lblOffset val="100"/>
        <c:noMultiLvlLbl val="0"/>
      </c:catAx>
      <c:valAx>
        <c:axId val="1969928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2971088"/>
        <c:crosses val="autoZero"/>
        <c:crossBetween val="between"/>
      </c:valAx>
      <c:serAx>
        <c:axId val="183674356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6992804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sales.xlsx]KPI!PivotTable11</c:name>
    <c:fmtId val="13"/>
  </c:pivotSource>
  <c:chart>
    <c:autoTitleDeleted val="1"/>
    <c:pivotFmts>
      <c:pivotFmt>
        <c:idx val="0"/>
        <c:spPr>
          <a:solidFill>
            <a:schemeClr val="accent1"/>
          </a:solidFill>
          <a:ln w="25400">
            <a:solidFill>
              <a:schemeClr val="lt1"/>
            </a:solidFill>
          </a:ln>
          <a:effectLst/>
          <a:sp3d contourW="25400">
            <a:contourClr>
              <a:schemeClr val="lt1"/>
            </a:contourClr>
          </a:sp3d>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w="25400">
            <a:solidFill>
              <a:schemeClr val="lt1"/>
            </a:solidFill>
          </a:ln>
          <a:effectLst/>
          <a:sp3d contourW="25400">
            <a:contourClr>
              <a:schemeClr val="lt1"/>
            </a:contourClr>
          </a:sp3d>
        </c:spPr>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1"/>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pivotFmt>
      <c:pivotFmt>
        <c:idx val="6"/>
        <c:spPr>
          <a:solidFill>
            <a:schemeClr val="accent1"/>
          </a:solidFill>
          <a:ln w="25400">
            <a:solidFill>
              <a:schemeClr val="lt1"/>
            </a:solidFill>
          </a:ln>
          <a:effectLst/>
          <a:sp3d contourW="25400">
            <a:contourClr>
              <a:schemeClr val="lt1"/>
            </a:contourClr>
          </a:sp3d>
        </c:spPr>
      </c:pivotFmt>
      <c:pivotFmt>
        <c:idx val="7"/>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w="25400">
            <a:solidFill>
              <a:schemeClr val="lt1"/>
            </a:solidFill>
          </a:ln>
          <a:effectLst/>
          <a:sp3d contourW="25400">
            <a:contourClr>
              <a:schemeClr val="lt1"/>
            </a:contourClr>
          </a:sp3d>
        </c:spPr>
      </c:pivotFmt>
      <c:pivotFmt>
        <c:idx val="9"/>
        <c:spPr>
          <a:solidFill>
            <a:schemeClr val="accent1"/>
          </a:solidFill>
          <a:ln w="25400">
            <a:solidFill>
              <a:schemeClr val="lt1"/>
            </a:solidFill>
          </a:ln>
          <a:effectLst/>
          <a:sp3d contourW="25400">
            <a:contourClr>
              <a:schemeClr val="lt1"/>
            </a:contourClr>
          </a:sp3d>
        </c:spPr>
      </c:pivotFmt>
      <c:pivotFmt>
        <c:idx val="10"/>
        <c:spPr>
          <a:solidFill>
            <a:schemeClr val="accent1"/>
          </a:solidFill>
          <a:ln w="25400">
            <a:solidFill>
              <a:schemeClr val="lt1"/>
            </a:solidFill>
          </a:ln>
          <a:effectLst/>
          <a:sp3d contourW="25400">
            <a:contourClr>
              <a:schemeClr val="lt1"/>
            </a:contourClr>
          </a:sp3d>
        </c:spPr>
      </c:pivotFmt>
      <c:pivotFmt>
        <c:idx val="11"/>
        <c:spPr>
          <a:solidFill>
            <a:schemeClr val="accent1"/>
          </a:solidFill>
          <a:ln w="25400">
            <a:solidFill>
              <a:schemeClr val="lt1"/>
            </a:solidFill>
          </a:ln>
          <a:effectLst/>
          <a:sp3d contourW="25400">
            <a:contourClr>
              <a:schemeClr val="lt1"/>
            </a:contourClr>
          </a:sp3d>
        </c:spPr>
      </c:pivotFmt>
      <c:pivotFmt>
        <c:idx val="12"/>
        <c:spPr>
          <a:solidFill>
            <a:schemeClr val="accent1"/>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9444444444444441E-3"/>
          <c:y val="0.41158110236220474"/>
          <c:w val="0.67777777777777781"/>
          <c:h val="0.58474680664916889"/>
        </c:manualLayout>
      </c:layout>
      <c:pie3DChart>
        <c:varyColors val="1"/>
        <c:ser>
          <c:idx val="0"/>
          <c:order val="0"/>
          <c:tx>
            <c:strRef>
              <c:f>KPI!$E$35</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3A33-4ED6-B78D-FDECAC3F413C}"/>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3A33-4ED6-B78D-FDECAC3F413C}"/>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3A33-4ED6-B78D-FDECAC3F413C}"/>
              </c:ext>
            </c:extLst>
          </c:dPt>
          <c:dPt>
            <c:idx val="3"/>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7-3A33-4ED6-B78D-FDECAC3F413C}"/>
              </c:ext>
            </c:extLst>
          </c:dPt>
          <c:dPt>
            <c:idx val="4"/>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9-3A33-4ED6-B78D-FDECAC3F413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KPI!$D$36:$D$37</c:f>
              <c:strCache>
                <c:ptCount val="1"/>
                <c:pt idx="0">
                  <c:v>Laura</c:v>
                </c:pt>
              </c:strCache>
            </c:strRef>
          </c:cat>
          <c:val>
            <c:numRef>
              <c:f>KPI!$E$36:$E$37</c:f>
              <c:numCache>
                <c:formatCode>General</c:formatCode>
                <c:ptCount val="1"/>
                <c:pt idx="0">
                  <c:v>0.06</c:v>
                </c:pt>
              </c:numCache>
            </c:numRef>
          </c:val>
          <c:extLst>
            <c:ext xmlns:c16="http://schemas.microsoft.com/office/drawing/2014/chart" uri="{C3380CC4-5D6E-409C-BE32-E72D297353CC}">
              <c16:uniqueId val="{0000000A-3A33-4ED6-B78D-FDECAC3F413C}"/>
            </c:ext>
          </c:extLst>
        </c:ser>
        <c:dLbls>
          <c:showLegendKey val="0"/>
          <c:showVal val="1"/>
          <c:showCatName val="1"/>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sales.xlsx]KPI!PivotTable7</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Daily Sales Trends</a:t>
            </a:r>
            <a:br>
              <a:rPr lang="en-US"/>
            </a:br>
            <a:endParaRPr lang="en-US"/>
          </a:p>
        </c:rich>
      </c:tx>
      <c:layout>
        <c:manualLayout>
          <c:xMode val="edge"/>
          <c:yMode val="edge"/>
          <c:x val="0.3158512720156556"/>
          <c:y val="6.578947368421052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KPI!$B$23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KPI!$A$24:$A$25</c:f>
              <c:strCache>
                <c:ptCount val="1"/>
                <c:pt idx="0">
                  <c:v>07-07-2018</c:v>
                </c:pt>
              </c:strCache>
            </c:strRef>
          </c:cat>
          <c:val>
            <c:numRef>
              <c:f>KPI!$B$24:$B$25</c:f>
              <c:numCache>
                <c:formatCode>General</c:formatCode>
                <c:ptCount val="1"/>
                <c:pt idx="0">
                  <c:v>240</c:v>
                </c:pt>
              </c:numCache>
            </c:numRef>
          </c:val>
          <c:smooth val="0"/>
          <c:extLst>
            <c:ext xmlns:c16="http://schemas.microsoft.com/office/drawing/2014/chart" uri="{C3380CC4-5D6E-409C-BE32-E72D297353CC}">
              <c16:uniqueId val="{00000000-72B9-4BFD-A2F6-72C874B0373F}"/>
            </c:ext>
          </c:extLst>
        </c:ser>
        <c:dLbls>
          <c:showLegendKey val="0"/>
          <c:showVal val="0"/>
          <c:showCatName val="0"/>
          <c:showSerName val="0"/>
          <c:showPercent val="0"/>
          <c:showBubbleSize val="0"/>
        </c:dLbls>
        <c:marker val="1"/>
        <c:smooth val="0"/>
        <c:axId val="2049188208"/>
        <c:axId val="2061428880"/>
      </c:lineChart>
      <c:catAx>
        <c:axId val="2049188208"/>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1428880"/>
        <c:crosses val="autoZero"/>
        <c:auto val="1"/>
        <c:lblAlgn val="ctr"/>
        <c:lblOffset val="100"/>
        <c:noMultiLvlLbl val="0"/>
      </c:catAx>
      <c:valAx>
        <c:axId val="206142888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91882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sales.xlsx]KPI!PivotTable8</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 by Representive</a:t>
            </a:r>
          </a:p>
        </c:rich>
      </c:tx>
      <c:layout>
        <c:manualLayout>
          <c:xMode val="edge"/>
          <c:yMode val="edge"/>
          <c:x val="0.27002366284525314"/>
          <c:y val="3.6925531367402606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KPI!$E$23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KPI!$D$24:$D$25</c:f>
              <c:strCache>
                <c:ptCount val="1"/>
                <c:pt idx="0">
                  <c:v>Laura</c:v>
                </c:pt>
              </c:strCache>
            </c:strRef>
          </c:cat>
          <c:val>
            <c:numRef>
              <c:f>KPI!$E$24:$E$25</c:f>
              <c:numCache>
                <c:formatCode>General</c:formatCode>
                <c:ptCount val="1"/>
                <c:pt idx="0">
                  <c:v>240</c:v>
                </c:pt>
              </c:numCache>
            </c:numRef>
          </c:val>
          <c:extLst>
            <c:ext xmlns:c16="http://schemas.microsoft.com/office/drawing/2014/chart" uri="{C3380CC4-5D6E-409C-BE32-E72D297353CC}">
              <c16:uniqueId val="{00000000-99F4-4274-BBEC-F2E0692D1BBA}"/>
            </c:ext>
          </c:extLst>
        </c:ser>
        <c:dLbls>
          <c:showLegendKey val="0"/>
          <c:showVal val="1"/>
          <c:showCatName val="0"/>
          <c:showSerName val="0"/>
          <c:showPercent val="0"/>
          <c:showBubbleSize val="0"/>
        </c:dLbls>
        <c:gapWidth val="150"/>
        <c:shape val="box"/>
        <c:axId val="2049069424"/>
        <c:axId val="2061430800"/>
        <c:axId val="0"/>
      </c:bar3DChart>
      <c:catAx>
        <c:axId val="204906942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61430800"/>
        <c:crosses val="autoZero"/>
        <c:auto val="1"/>
        <c:lblAlgn val="ctr"/>
        <c:lblOffset val="100"/>
        <c:noMultiLvlLbl val="0"/>
      </c:catAx>
      <c:valAx>
        <c:axId val="2061430800"/>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49069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sales.xlsx]KPI!PivotTable9</c:name>
    <c:fmtId val="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8"/>
        <c:spPr>
          <a:solidFill>
            <a:schemeClr val="accent1"/>
          </a:solidFill>
          <a:ln>
            <a:noFill/>
          </a:ln>
          <a:effectLst>
            <a:outerShdw blurRad="254000" sx="102000" sy="102000" algn="ctr" rotWithShape="0">
              <a:prstClr val="black">
                <a:alpha val="20000"/>
              </a:prstClr>
            </a:outerShdw>
          </a:effectLst>
        </c:spPr>
        <c:dLbl>
          <c:idx val="0"/>
          <c:layout>
            <c:manualLayout>
              <c:x val="0.13285348425776555"/>
              <c:y val="-2.3087414495896755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dLbl>
          <c:idx val="0"/>
          <c:layout>
            <c:manualLayout>
              <c:x val="-0.13687934741709179"/>
              <c:y val="3.4631121743845139E-2"/>
            </c:manualLayout>
          </c:layout>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s>
    <c:plotArea>
      <c:layout>
        <c:manualLayout>
          <c:layoutTarget val="inner"/>
          <c:xMode val="edge"/>
          <c:yMode val="edge"/>
          <c:x val="6.770582542399152E-2"/>
          <c:y val="0"/>
          <c:w val="0.75903433807677212"/>
          <c:h val="1"/>
        </c:manualLayout>
      </c:layout>
      <c:doughnutChart>
        <c:varyColors val="1"/>
        <c:ser>
          <c:idx val="0"/>
          <c:order val="0"/>
          <c:tx>
            <c:strRef>
              <c:f>KPI!$I$23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721-4296-B86D-81FD1AFAB9D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721-4296-B86D-81FD1AFAB9D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721-4296-B86D-81FD1AFAB9D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A721-4296-B86D-81FD1AFAB9D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A721-4296-B86D-81FD1AFAB9D3}"/>
              </c:ext>
            </c:extLst>
          </c:dPt>
          <c:dLbls>
            <c:dLbl>
              <c:idx val="0"/>
              <c:layout>
                <c:manualLayout>
                  <c:x val="-0.13687934741709179"/>
                  <c:y val="3.4631121743845139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721-4296-B86D-81FD1AFAB9D3}"/>
                </c:ext>
              </c:extLst>
            </c:dLbl>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KPI!$H$24:$H$25</c:f>
              <c:strCache>
                <c:ptCount val="1"/>
                <c:pt idx="0">
                  <c:v>White Board</c:v>
                </c:pt>
              </c:strCache>
            </c:strRef>
          </c:cat>
          <c:val>
            <c:numRef>
              <c:f>KPI!$I$24:$I$25</c:f>
              <c:numCache>
                <c:formatCode>General</c:formatCode>
                <c:ptCount val="1"/>
                <c:pt idx="0">
                  <c:v>240</c:v>
                </c:pt>
              </c:numCache>
            </c:numRef>
          </c:val>
          <c:extLst>
            <c:ext xmlns:c16="http://schemas.microsoft.com/office/drawing/2014/chart" uri="{C3380CC4-5D6E-409C-BE32-E72D297353CC}">
              <c16:uniqueId val="{0000000A-A721-4296-B86D-81FD1AFAB9D3}"/>
            </c:ext>
          </c:extLst>
        </c:ser>
        <c:dLbls>
          <c:showLegendKey val="0"/>
          <c:showVal val="0"/>
          <c:showCatName val="0"/>
          <c:showSerName val="0"/>
          <c:showPercent val="0"/>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sales.xlsx]KPI!PivotTable10</c:name>
    <c:fmtId val="3"/>
  </c:pivotSource>
  <c:chart>
    <c:autoTitleDeleted val="1"/>
    <c:pivotFmts>
      <c:pivotFmt>
        <c:idx val="0"/>
      </c:pivotFmt>
      <c:pivotFmt>
        <c:idx val="1"/>
      </c:pivotFmt>
      <c:pivotFmt>
        <c:idx val="2"/>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3.9447731755424063E-2"/>
              <c:y val="-0.1054216867469879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3.9447731755423945E-2"/>
              <c:y val="-6.024096385542168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dLbl>
          <c:idx val="0"/>
          <c:layout>
            <c:manualLayout>
              <c:x val="-1.9723865877712032E-2"/>
              <c:y val="-0.110441767068273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1926312465379695E-2"/>
          <c:y val="5.5220883534136546E-2"/>
          <c:w val="0.93788897689563955"/>
          <c:h val="0.63681102362204722"/>
        </c:manualLayout>
      </c:layout>
      <c:bar3DChart>
        <c:barDir val="col"/>
        <c:grouping val="standard"/>
        <c:varyColors val="0"/>
        <c:ser>
          <c:idx val="0"/>
          <c:order val="0"/>
          <c:tx>
            <c:strRef>
              <c:f>KPI!$L$23</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KPI!$K$24:$K$25</c:f>
              <c:strCache>
                <c:ptCount val="1"/>
                <c:pt idx="0">
                  <c:v>Kerala</c:v>
                </c:pt>
              </c:strCache>
            </c:strRef>
          </c:cat>
          <c:val>
            <c:numRef>
              <c:f>KPI!$L$24:$L$25</c:f>
              <c:numCache>
                <c:formatCode>General</c:formatCode>
                <c:ptCount val="1"/>
                <c:pt idx="0">
                  <c:v>240</c:v>
                </c:pt>
              </c:numCache>
            </c:numRef>
          </c:val>
          <c:extLst>
            <c:ext xmlns:c16="http://schemas.microsoft.com/office/drawing/2014/chart" uri="{C3380CC4-5D6E-409C-BE32-E72D297353CC}">
              <c16:uniqueId val="{00000000-0EF9-420B-BD93-5C8EF0D0AC0E}"/>
            </c:ext>
          </c:extLst>
        </c:ser>
        <c:dLbls>
          <c:showLegendKey val="0"/>
          <c:showVal val="1"/>
          <c:showCatName val="0"/>
          <c:showSerName val="0"/>
          <c:showPercent val="0"/>
          <c:showBubbleSize val="0"/>
        </c:dLbls>
        <c:gapWidth val="75"/>
        <c:shape val="box"/>
        <c:axId val="1142971088"/>
        <c:axId val="1969928048"/>
        <c:axId val="1836743568"/>
      </c:bar3DChart>
      <c:catAx>
        <c:axId val="114297108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969928048"/>
        <c:crosses val="autoZero"/>
        <c:auto val="1"/>
        <c:lblAlgn val="ctr"/>
        <c:lblOffset val="100"/>
        <c:noMultiLvlLbl val="0"/>
      </c:catAx>
      <c:valAx>
        <c:axId val="1969928048"/>
        <c:scaling>
          <c:orientation val="minMax"/>
        </c:scaling>
        <c:delete val="1"/>
        <c:axPos val="l"/>
        <c:numFmt formatCode="General" sourceLinked="1"/>
        <c:majorTickMark val="none"/>
        <c:minorTickMark val="none"/>
        <c:tickLblPos val="nextTo"/>
        <c:crossAx val="1142971088"/>
        <c:crosses val="autoZero"/>
        <c:crossBetween val="between"/>
      </c:valAx>
      <c:serAx>
        <c:axId val="1836743568"/>
        <c:scaling>
          <c:orientation val="minMax"/>
        </c:scaling>
        <c:delete val="1"/>
        <c:axPos val="b"/>
        <c:majorTickMark val="none"/>
        <c:minorTickMark val="none"/>
        <c:tickLblPos val="nextTo"/>
        <c:crossAx val="1969928048"/>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[employee sales.xlsx]KPI!PivotTable11</c:name>
    <c:fmtId val="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sz="1400"/>
              <a:t>Commission</a:t>
            </a:r>
            <a:r>
              <a:rPr lang="en-IN" sz="1400" baseline="0"/>
              <a:t> By Representive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1"/>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6.9444444444444441E-3"/>
          <c:y val="0.41158110236220474"/>
          <c:w val="0.67777777777777781"/>
          <c:h val="0.58474680664916889"/>
        </c:manualLayout>
      </c:layout>
      <c:pie3DChart>
        <c:varyColors val="1"/>
        <c:ser>
          <c:idx val="0"/>
          <c:order val="0"/>
          <c:tx>
            <c:strRef>
              <c:f>KPI!$E$35</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99A3-4FC1-AD2A-2DC3DDA2F6B6}"/>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99A3-4FC1-AD2A-2DC3DDA2F6B6}"/>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99A3-4FC1-AD2A-2DC3DDA2F6B6}"/>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99A3-4FC1-AD2A-2DC3DDA2F6B6}"/>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99A3-4FC1-AD2A-2DC3DDA2F6B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KPI!$D$36:$D$37</c:f>
              <c:strCache>
                <c:ptCount val="1"/>
                <c:pt idx="0">
                  <c:v>Laura</c:v>
                </c:pt>
              </c:strCache>
            </c:strRef>
          </c:cat>
          <c:val>
            <c:numRef>
              <c:f>KPI!$E$36:$E$37</c:f>
              <c:numCache>
                <c:formatCode>General</c:formatCode>
                <c:ptCount val="1"/>
                <c:pt idx="0">
                  <c:v>0.06</c:v>
                </c:pt>
              </c:numCache>
            </c:numRef>
          </c:val>
          <c:extLst>
            <c:ext xmlns:c16="http://schemas.microsoft.com/office/drawing/2014/chart" uri="{C3380CC4-5D6E-409C-BE32-E72D297353CC}">
              <c16:uniqueId val="{0000000A-99A3-4FC1-AD2A-2DC3DDA2F6B6}"/>
            </c:ext>
          </c:extLst>
        </c:ser>
        <c:dLbls>
          <c:dLblPos val="ctr"/>
          <c:showLegendKey val="0"/>
          <c:showVal val="1"/>
          <c:showCatName val="1"/>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6</xdr:col>
      <xdr:colOff>220980</xdr:colOff>
      <xdr:row>57</xdr:row>
      <xdr:rowOff>22861</xdr:rowOff>
    </xdr:from>
    <xdr:to>
      <xdr:col>8</xdr:col>
      <xdr:colOff>586740</xdr:colOff>
      <xdr:row>67</xdr:row>
      <xdr:rowOff>60961</xdr:rowOff>
    </xdr:to>
    <mc:AlternateContent xmlns:mc="http://schemas.openxmlformats.org/markup-compatibility/2006" xmlns:a14="http://schemas.microsoft.com/office/drawing/2010/main">
      <mc:Choice Requires="a14">
        <xdr:graphicFrame macro="">
          <xdr:nvGraphicFramePr>
            <xdr:cNvPr id="12" name="Sales Representive">
              <a:extLst>
                <a:ext uri="{FF2B5EF4-FFF2-40B4-BE49-F238E27FC236}">
                  <a16:creationId xmlns:a16="http://schemas.microsoft.com/office/drawing/2014/main" id="{7C0C074B-3132-4CE2-9711-15D724015C39}"/>
                </a:ext>
              </a:extLst>
            </xdr:cNvPr>
            <xdr:cNvGraphicFramePr/>
          </xdr:nvGraphicFramePr>
          <xdr:xfrm>
            <a:off x="0" y="0"/>
            <a:ext cx="0" cy="0"/>
          </xdr:xfrm>
          <a:graphic>
            <a:graphicData uri="http://schemas.microsoft.com/office/drawing/2010/slicer">
              <sle:slicer xmlns:sle="http://schemas.microsoft.com/office/drawing/2010/slicer" name="Sales Representive"/>
            </a:graphicData>
          </a:graphic>
        </xdr:graphicFrame>
      </mc:Choice>
      <mc:Fallback xmlns="">
        <xdr:sp macro="" textlink="">
          <xdr:nvSpPr>
            <xdr:cNvPr id="0" name=""/>
            <xdr:cNvSpPr>
              <a:spLocks noTextEdit="1"/>
            </xdr:cNvSpPr>
          </xdr:nvSpPr>
          <xdr:spPr>
            <a:xfrm>
              <a:off x="5737860" y="10462261"/>
              <a:ext cx="1828800" cy="1866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175260</xdr:colOff>
      <xdr:row>57</xdr:row>
      <xdr:rowOff>38100</xdr:rowOff>
    </xdr:from>
    <xdr:to>
      <xdr:col>6</xdr:col>
      <xdr:colOff>144780</xdr:colOff>
      <xdr:row>71</xdr:row>
      <xdr:rowOff>59055</xdr:rowOff>
    </xdr:to>
    <mc:AlternateContent xmlns:mc="http://schemas.openxmlformats.org/markup-compatibility/2006" xmlns:a14="http://schemas.microsoft.com/office/drawing/2010/main">
      <mc:Choice Requires="a14">
        <xdr:graphicFrame macro="">
          <xdr:nvGraphicFramePr>
            <xdr:cNvPr id="13" name="Date">
              <a:extLst>
                <a:ext uri="{FF2B5EF4-FFF2-40B4-BE49-F238E27FC236}">
                  <a16:creationId xmlns:a16="http://schemas.microsoft.com/office/drawing/2014/main" id="{8E768F1F-199D-4063-A9F8-11C1178A7514}"/>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mlns="">
        <xdr:sp macro="" textlink="">
          <xdr:nvSpPr>
            <xdr:cNvPr id="0" name=""/>
            <xdr:cNvSpPr>
              <a:spLocks noTextEdit="1"/>
            </xdr:cNvSpPr>
          </xdr:nvSpPr>
          <xdr:spPr>
            <a:xfrm>
              <a:off x="3832860" y="1047750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57</xdr:row>
      <xdr:rowOff>45721</xdr:rowOff>
    </xdr:from>
    <xdr:to>
      <xdr:col>2</xdr:col>
      <xdr:colOff>0</xdr:colOff>
      <xdr:row>67</xdr:row>
      <xdr:rowOff>83821</xdr:rowOff>
    </xdr:to>
    <mc:AlternateContent xmlns:mc="http://schemas.openxmlformats.org/markup-compatibility/2006" xmlns:a14="http://schemas.microsoft.com/office/drawing/2010/main">
      <mc:Choice Requires="a14">
        <xdr:graphicFrame macro="">
          <xdr:nvGraphicFramePr>
            <xdr:cNvPr id="14" name="Item">
              <a:extLst>
                <a:ext uri="{FF2B5EF4-FFF2-40B4-BE49-F238E27FC236}">
                  <a16:creationId xmlns:a16="http://schemas.microsoft.com/office/drawing/2014/main" id="{FA2508E9-8274-40FA-814D-9C420F5C5769}"/>
                </a:ext>
              </a:extLst>
            </xdr:cNvPr>
            <xdr:cNvGraphicFramePr/>
          </xdr:nvGraphicFramePr>
          <xdr:xfrm>
            <a:off x="0" y="0"/>
            <a:ext cx="0" cy="0"/>
          </xdr:xfrm>
          <a:graphic>
            <a:graphicData uri="http://schemas.microsoft.com/office/drawing/2010/slicer">
              <sle:slicer xmlns:sle="http://schemas.microsoft.com/office/drawing/2010/slicer" name="Item"/>
            </a:graphicData>
          </a:graphic>
        </xdr:graphicFrame>
      </mc:Choice>
      <mc:Fallback xmlns="">
        <xdr:sp macro="" textlink="">
          <xdr:nvSpPr>
            <xdr:cNvPr id="0" name=""/>
            <xdr:cNvSpPr>
              <a:spLocks noTextEdit="1"/>
            </xdr:cNvSpPr>
          </xdr:nvSpPr>
          <xdr:spPr>
            <a:xfrm>
              <a:off x="0" y="10485121"/>
              <a:ext cx="1828800" cy="18669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106680</xdr:colOff>
      <xdr:row>57</xdr:row>
      <xdr:rowOff>53340</xdr:rowOff>
    </xdr:from>
    <xdr:to>
      <xdr:col>4</xdr:col>
      <xdr:colOff>106680</xdr:colOff>
      <xdr:row>72</xdr:row>
      <xdr:rowOff>43815</xdr:rowOff>
    </xdr:to>
    <mc:AlternateContent xmlns:mc="http://schemas.openxmlformats.org/markup-compatibility/2006" xmlns:a14="http://schemas.microsoft.com/office/drawing/2010/main">
      <mc:Choice Requires="a14">
        <xdr:graphicFrame macro="">
          <xdr:nvGraphicFramePr>
            <xdr:cNvPr id="15" name="State">
              <a:extLst>
                <a:ext uri="{FF2B5EF4-FFF2-40B4-BE49-F238E27FC236}">
                  <a16:creationId xmlns:a16="http://schemas.microsoft.com/office/drawing/2014/main" id="{74447749-BDC7-47F8-963F-AFF98DB61FF8}"/>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935480" y="10492740"/>
              <a:ext cx="1828800" cy="27336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22860</xdr:rowOff>
    </xdr:from>
    <xdr:to>
      <xdr:col>3</xdr:col>
      <xdr:colOff>220980</xdr:colOff>
      <xdr:row>18</xdr:row>
      <xdr:rowOff>22860</xdr:rowOff>
    </xdr:to>
    <xdr:graphicFrame macro="">
      <xdr:nvGraphicFramePr>
        <xdr:cNvPr id="2" name="Chart 1">
          <a:extLst>
            <a:ext uri="{FF2B5EF4-FFF2-40B4-BE49-F238E27FC236}">
              <a16:creationId xmlns:a16="http://schemas.microsoft.com/office/drawing/2014/main" id="{1C633647-6D54-4706-A749-FA0C518361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411480</xdr:colOff>
      <xdr:row>3</xdr:row>
      <xdr:rowOff>45720</xdr:rowOff>
    </xdr:from>
    <xdr:to>
      <xdr:col>9</xdr:col>
      <xdr:colOff>7620</xdr:colOff>
      <xdr:row>17</xdr:row>
      <xdr:rowOff>15240</xdr:rowOff>
    </xdr:to>
    <xdr:graphicFrame macro="">
      <xdr:nvGraphicFramePr>
        <xdr:cNvPr id="3" name="Chart 2">
          <a:extLst>
            <a:ext uri="{FF2B5EF4-FFF2-40B4-BE49-F238E27FC236}">
              <a16:creationId xmlns:a16="http://schemas.microsoft.com/office/drawing/2014/main" id="{11B57366-4A0B-4F95-8D98-9B6604B395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236220</xdr:colOff>
      <xdr:row>3</xdr:row>
      <xdr:rowOff>7620</xdr:rowOff>
    </xdr:from>
    <xdr:to>
      <xdr:col>14</xdr:col>
      <xdr:colOff>236220</xdr:colOff>
      <xdr:row>13</xdr:row>
      <xdr:rowOff>68580</xdr:rowOff>
    </xdr:to>
    <xdr:graphicFrame macro="">
      <xdr:nvGraphicFramePr>
        <xdr:cNvPr id="4" name="Chart 3">
          <a:extLst>
            <a:ext uri="{FF2B5EF4-FFF2-40B4-BE49-F238E27FC236}">
              <a16:creationId xmlns:a16="http://schemas.microsoft.com/office/drawing/2014/main" id="{2EBD2705-0F61-477B-AB7E-EA5684735B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563880</xdr:colOff>
      <xdr:row>2</xdr:row>
      <xdr:rowOff>114300</xdr:rowOff>
    </xdr:from>
    <xdr:to>
      <xdr:col>20</xdr:col>
      <xdr:colOff>243840</xdr:colOff>
      <xdr:row>17</xdr:row>
      <xdr:rowOff>114300</xdr:rowOff>
    </xdr:to>
    <xdr:graphicFrame macro="">
      <xdr:nvGraphicFramePr>
        <xdr:cNvPr id="5" name="Chart 4">
          <a:extLst>
            <a:ext uri="{FF2B5EF4-FFF2-40B4-BE49-F238E27FC236}">
              <a16:creationId xmlns:a16="http://schemas.microsoft.com/office/drawing/2014/main" id="{AC91C24D-E11F-4DF3-9A40-3FBB55641C2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396240</xdr:colOff>
      <xdr:row>17</xdr:row>
      <xdr:rowOff>38100</xdr:rowOff>
    </xdr:from>
    <xdr:to>
      <xdr:col>9</xdr:col>
      <xdr:colOff>388620</xdr:colOff>
      <xdr:row>32</xdr:row>
      <xdr:rowOff>152400</xdr:rowOff>
    </xdr:to>
    <xdr:graphicFrame macro="">
      <xdr:nvGraphicFramePr>
        <xdr:cNvPr id="6" name="Chart 5">
          <a:extLst>
            <a:ext uri="{FF2B5EF4-FFF2-40B4-BE49-F238E27FC236}">
              <a16:creationId xmlns:a16="http://schemas.microsoft.com/office/drawing/2014/main" id="{5CFCF83C-3A46-455A-A7E6-83DDB0777E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83820</xdr:colOff>
      <xdr:row>2</xdr:row>
      <xdr:rowOff>114300</xdr:rowOff>
    </xdr:from>
    <xdr:to>
      <xdr:col>2</xdr:col>
      <xdr:colOff>15240</xdr:colOff>
      <xdr:row>5</xdr:row>
      <xdr:rowOff>99060</xdr:rowOff>
    </xdr:to>
    <xdr:sp macro="" textlink="">
      <xdr:nvSpPr>
        <xdr:cNvPr id="2" name="Rectangle 1">
          <a:extLst>
            <a:ext uri="{FF2B5EF4-FFF2-40B4-BE49-F238E27FC236}">
              <a16:creationId xmlns:a16="http://schemas.microsoft.com/office/drawing/2014/main" id="{1915B142-4A1B-5986-FA76-CA777DAF2E15}"/>
            </a:ext>
          </a:extLst>
        </xdr:cNvPr>
        <xdr:cNvSpPr/>
      </xdr:nvSpPr>
      <xdr:spPr>
        <a:xfrm>
          <a:off x="83820" y="480060"/>
          <a:ext cx="1150620" cy="5334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38100</xdr:colOff>
      <xdr:row>2</xdr:row>
      <xdr:rowOff>114300</xdr:rowOff>
    </xdr:from>
    <xdr:to>
      <xdr:col>4</xdr:col>
      <xdr:colOff>579120</xdr:colOff>
      <xdr:row>5</xdr:row>
      <xdr:rowOff>99060</xdr:rowOff>
    </xdr:to>
    <xdr:sp macro="" textlink="">
      <xdr:nvSpPr>
        <xdr:cNvPr id="3" name="Rectangle 2">
          <a:extLst>
            <a:ext uri="{FF2B5EF4-FFF2-40B4-BE49-F238E27FC236}">
              <a16:creationId xmlns:a16="http://schemas.microsoft.com/office/drawing/2014/main" id="{FC8B7EB2-F28D-4A71-BC3E-FC33CD975416}"/>
            </a:ext>
          </a:extLst>
        </xdr:cNvPr>
        <xdr:cNvSpPr/>
      </xdr:nvSpPr>
      <xdr:spPr>
        <a:xfrm>
          <a:off x="1866900" y="480060"/>
          <a:ext cx="1150620" cy="5334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6</xdr:col>
      <xdr:colOff>22860</xdr:colOff>
      <xdr:row>2</xdr:row>
      <xdr:rowOff>114300</xdr:rowOff>
    </xdr:from>
    <xdr:to>
      <xdr:col>7</xdr:col>
      <xdr:colOff>563880</xdr:colOff>
      <xdr:row>5</xdr:row>
      <xdr:rowOff>99060</xdr:rowOff>
    </xdr:to>
    <xdr:sp macro="" textlink="">
      <xdr:nvSpPr>
        <xdr:cNvPr id="4" name="Rectangle 3">
          <a:extLst>
            <a:ext uri="{FF2B5EF4-FFF2-40B4-BE49-F238E27FC236}">
              <a16:creationId xmlns:a16="http://schemas.microsoft.com/office/drawing/2014/main" id="{FD106269-35E0-449B-B873-75F7E2085E02}"/>
            </a:ext>
          </a:extLst>
        </xdr:cNvPr>
        <xdr:cNvSpPr/>
      </xdr:nvSpPr>
      <xdr:spPr>
        <a:xfrm>
          <a:off x="3680460" y="480060"/>
          <a:ext cx="1150620" cy="5334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9</xdr:col>
      <xdr:colOff>0</xdr:colOff>
      <xdr:row>2</xdr:row>
      <xdr:rowOff>106680</xdr:rowOff>
    </xdr:from>
    <xdr:to>
      <xdr:col>10</xdr:col>
      <xdr:colOff>541020</xdr:colOff>
      <xdr:row>5</xdr:row>
      <xdr:rowOff>91440</xdr:rowOff>
    </xdr:to>
    <xdr:sp macro="" textlink="">
      <xdr:nvSpPr>
        <xdr:cNvPr id="5" name="Rectangle 4">
          <a:extLst>
            <a:ext uri="{FF2B5EF4-FFF2-40B4-BE49-F238E27FC236}">
              <a16:creationId xmlns:a16="http://schemas.microsoft.com/office/drawing/2014/main" id="{E34A18BD-A993-4DA4-8D29-9FA7B18E44F3}"/>
            </a:ext>
          </a:extLst>
        </xdr:cNvPr>
        <xdr:cNvSpPr/>
      </xdr:nvSpPr>
      <xdr:spPr>
        <a:xfrm>
          <a:off x="5486400" y="472440"/>
          <a:ext cx="1150620" cy="5334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19290</xdr:colOff>
      <xdr:row>2</xdr:row>
      <xdr:rowOff>99061</xdr:rowOff>
    </xdr:from>
    <xdr:to>
      <xdr:col>14</xdr:col>
      <xdr:colOff>38582</xdr:colOff>
      <xdr:row>5</xdr:row>
      <xdr:rowOff>83821</xdr:rowOff>
    </xdr:to>
    <xdr:sp macro="" textlink="">
      <xdr:nvSpPr>
        <xdr:cNvPr id="6" name="Rectangle 5">
          <a:extLst>
            <a:ext uri="{FF2B5EF4-FFF2-40B4-BE49-F238E27FC236}">
              <a16:creationId xmlns:a16="http://schemas.microsoft.com/office/drawing/2014/main" id="{F072AB8C-C31B-457B-B1C9-F39C4D0FC8F6}"/>
            </a:ext>
          </a:extLst>
        </xdr:cNvPr>
        <xdr:cNvSpPr/>
      </xdr:nvSpPr>
      <xdr:spPr>
        <a:xfrm>
          <a:off x="7311341" y="465593"/>
          <a:ext cx="1234633" cy="534557"/>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14</xdr:col>
      <xdr:colOff>586740</xdr:colOff>
      <xdr:row>2</xdr:row>
      <xdr:rowOff>91440</xdr:rowOff>
    </xdr:from>
    <xdr:to>
      <xdr:col>16</xdr:col>
      <xdr:colOff>518160</xdr:colOff>
      <xdr:row>5</xdr:row>
      <xdr:rowOff>76200</xdr:rowOff>
    </xdr:to>
    <xdr:sp macro="" textlink="">
      <xdr:nvSpPr>
        <xdr:cNvPr id="7" name="Rectangle 6">
          <a:extLst>
            <a:ext uri="{FF2B5EF4-FFF2-40B4-BE49-F238E27FC236}">
              <a16:creationId xmlns:a16="http://schemas.microsoft.com/office/drawing/2014/main" id="{063AF916-72DB-42A7-A435-F20FA07AE6A7}"/>
            </a:ext>
          </a:extLst>
        </xdr:cNvPr>
        <xdr:cNvSpPr/>
      </xdr:nvSpPr>
      <xdr:spPr>
        <a:xfrm>
          <a:off x="9121140" y="457200"/>
          <a:ext cx="1150620" cy="53340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2</xdr:row>
      <xdr:rowOff>45720</xdr:rowOff>
    </xdr:from>
    <xdr:to>
      <xdr:col>17</xdr:col>
      <xdr:colOff>411480</xdr:colOff>
      <xdr:row>5</xdr:row>
      <xdr:rowOff>152400</xdr:rowOff>
    </xdr:to>
    <xdr:sp macro="" textlink="">
      <xdr:nvSpPr>
        <xdr:cNvPr id="8" name="Rectangle 7">
          <a:extLst>
            <a:ext uri="{FF2B5EF4-FFF2-40B4-BE49-F238E27FC236}">
              <a16:creationId xmlns:a16="http://schemas.microsoft.com/office/drawing/2014/main" id="{858CA5AC-833D-2FEF-0E82-DA88FFF777C9}"/>
            </a:ext>
          </a:extLst>
        </xdr:cNvPr>
        <xdr:cNvSpPr/>
      </xdr:nvSpPr>
      <xdr:spPr>
        <a:xfrm>
          <a:off x="0" y="411480"/>
          <a:ext cx="10774680" cy="65532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17</xdr:col>
      <xdr:colOff>480060</xdr:colOff>
      <xdr:row>22</xdr:row>
      <xdr:rowOff>15240</xdr:rowOff>
    </xdr:from>
    <xdr:to>
      <xdr:col>24</xdr:col>
      <xdr:colOff>0</xdr:colOff>
      <xdr:row>32</xdr:row>
      <xdr:rowOff>172719</xdr:rowOff>
    </xdr:to>
    <mc:AlternateContent xmlns:mc="http://schemas.openxmlformats.org/markup-compatibility/2006" xmlns:a14="http://schemas.microsoft.com/office/drawing/2010/main">
      <mc:Choice Requires="a14">
        <xdr:graphicFrame macro="">
          <xdr:nvGraphicFramePr>
            <xdr:cNvPr id="9" name="Sales Representive 1">
              <a:extLst>
                <a:ext uri="{FF2B5EF4-FFF2-40B4-BE49-F238E27FC236}">
                  <a16:creationId xmlns:a16="http://schemas.microsoft.com/office/drawing/2014/main" id="{9795D8D7-3659-4A2F-9D5F-0364FFA12F76}"/>
                </a:ext>
              </a:extLst>
            </xdr:cNvPr>
            <xdr:cNvGraphicFramePr/>
          </xdr:nvGraphicFramePr>
          <xdr:xfrm>
            <a:off x="0" y="0"/>
            <a:ext cx="0" cy="0"/>
          </xdr:xfrm>
          <a:graphic>
            <a:graphicData uri="http://schemas.microsoft.com/office/drawing/2010/slicer">
              <sle:slicer xmlns:sle="http://schemas.microsoft.com/office/drawing/2010/slicer" name="Sales Representive 1"/>
            </a:graphicData>
          </a:graphic>
        </xdr:graphicFrame>
      </mc:Choice>
      <mc:Fallback xmlns="">
        <xdr:sp macro="" textlink="">
          <xdr:nvSpPr>
            <xdr:cNvPr id="0" name=""/>
            <xdr:cNvSpPr>
              <a:spLocks noTextEdit="1"/>
            </xdr:cNvSpPr>
          </xdr:nvSpPr>
          <xdr:spPr>
            <a:xfrm>
              <a:off x="10784378" y="4015740"/>
              <a:ext cx="3762895" cy="19758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20</xdr:col>
      <xdr:colOff>487680</xdr:colOff>
      <xdr:row>2</xdr:row>
      <xdr:rowOff>22860</xdr:rowOff>
    </xdr:from>
    <xdr:to>
      <xdr:col>24</xdr:col>
      <xdr:colOff>10160</xdr:colOff>
      <xdr:row>22</xdr:row>
      <xdr:rowOff>7620</xdr:rowOff>
    </xdr:to>
    <mc:AlternateContent xmlns:mc="http://schemas.openxmlformats.org/markup-compatibility/2006" xmlns:a14="http://schemas.microsoft.com/office/drawing/2010/main">
      <mc:Choice Requires="a14">
        <xdr:graphicFrame macro="">
          <xdr:nvGraphicFramePr>
            <xdr:cNvPr id="10" name="Date 1">
              <a:extLst>
                <a:ext uri="{FF2B5EF4-FFF2-40B4-BE49-F238E27FC236}">
                  <a16:creationId xmlns:a16="http://schemas.microsoft.com/office/drawing/2014/main" id="{EC5A68DC-9AA5-4113-872B-FD5E0E6225C8}"/>
                </a:ext>
              </a:extLst>
            </xdr:cNvPr>
            <xdr:cNvGraphicFramePr/>
          </xdr:nvGraphicFramePr>
          <xdr:xfrm>
            <a:off x="0" y="0"/>
            <a:ext cx="0" cy="0"/>
          </xdr:xfrm>
          <a:graphic>
            <a:graphicData uri="http://schemas.microsoft.com/office/drawing/2010/slicer">
              <sle:slicer xmlns:sle="http://schemas.microsoft.com/office/drawing/2010/slicer" name="Date 1"/>
            </a:graphicData>
          </a:graphic>
        </xdr:graphicFrame>
      </mc:Choice>
      <mc:Fallback xmlns="">
        <xdr:sp macro="" textlink="">
          <xdr:nvSpPr>
            <xdr:cNvPr id="0" name=""/>
            <xdr:cNvSpPr>
              <a:spLocks noTextEdit="1"/>
            </xdr:cNvSpPr>
          </xdr:nvSpPr>
          <xdr:spPr>
            <a:xfrm>
              <a:off x="12610407" y="386542"/>
              <a:ext cx="1947026" cy="362157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472440</xdr:colOff>
      <xdr:row>2</xdr:row>
      <xdr:rowOff>22861</xdr:rowOff>
    </xdr:from>
    <xdr:to>
      <xdr:col>20</xdr:col>
      <xdr:colOff>472440</xdr:colOff>
      <xdr:row>8</xdr:row>
      <xdr:rowOff>137160</xdr:rowOff>
    </xdr:to>
    <mc:AlternateContent xmlns:mc="http://schemas.openxmlformats.org/markup-compatibility/2006" xmlns:a14="http://schemas.microsoft.com/office/drawing/2010/main">
      <mc:Choice Requires="a14">
        <xdr:graphicFrame macro="">
          <xdr:nvGraphicFramePr>
            <xdr:cNvPr id="11" name="Item 1">
              <a:extLst>
                <a:ext uri="{FF2B5EF4-FFF2-40B4-BE49-F238E27FC236}">
                  <a16:creationId xmlns:a16="http://schemas.microsoft.com/office/drawing/2014/main" id="{C8038B31-199E-4593-9CF0-97F43D9F2D27}"/>
                </a:ext>
              </a:extLst>
            </xdr:cNvPr>
            <xdr:cNvGraphicFramePr/>
          </xdr:nvGraphicFramePr>
          <xdr:xfrm>
            <a:off x="0" y="0"/>
            <a:ext cx="0" cy="0"/>
          </xdr:xfrm>
          <a:graphic>
            <a:graphicData uri="http://schemas.microsoft.com/office/drawing/2010/slicer">
              <sle:slicer xmlns:sle="http://schemas.microsoft.com/office/drawing/2010/slicer" name="Item 1"/>
            </a:graphicData>
          </a:graphic>
        </xdr:graphicFrame>
      </mc:Choice>
      <mc:Fallback xmlns="">
        <xdr:sp macro="" textlink="">
          <xdr:nvSpPr>
            <xdr:cNvPr id="0" name=""/>
            <xdr:cNvSpPr>
              <a:spLocks noTextEdit="1"/>
            </xdr:cNvSpPr>
          </xdr:nvSpPr>
          <xdr:spPr>
            <a:xfrm>
              <a:off x="10776758" y="386543"/>
              <a:ext cx="1818409" cy="120534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472440</xdr:colOff>
      <xdr:row>8</xdr:row>
      <xdr:rowOff>167641</xdr:rowOff>
    </xdr:from>
    <xdr:to>
      <xdr:col>20</xdr:col>
      <xdr:colOff>472440</xdr:colOff>
      <xdr:row>22</xdr:row>
      <xdr:rowOff>1</xdr:rowOff>
    </xdr:to>
    <mc:AlternateContent xmlns:mc="http://schemas.openxmlformats.org/markup-compatibility/2006" xmlns:a14="http://schemas.microsoft.com/office/drawing/2010/main">
      <mc:Choice Requires="a14">
        <xdr:graphicFrame macro="">
          <xdr:nvGraphicFramePr>
            <xdr:cNvPr id="12" name="State 1">
              <a:extLst>
                <a:ext uri="{FF2B5EF4-FFF2-40B4-BE49-F238E27FC236}">
                  <a16:creationId xmlns:a16="http://schemas.microsoft.com/office/drawing/2014/main" id="{B3129844-174A-458D-8DD7-D73D625F24F2}"/>
                </a:ext>
              </a:extLst>
            </xdr:cNvPr>
            <xdr:cNvGraphicFramePr/>
          </xdr:nvGraphicFramePr>
          <xdr:xfrm>
            <a:off x="0" y="0"/>
            <a:ext cx="0" cy="0"/>
          </xdr:xfrm>
          <a:graphic>
            <a:graphicData uri="http://schemas.microsoft.com/office/drawing/2010/slicer">
              <sle:slicer xmlns:sle="http://schemas.microsoft.com/office/drawing/2010/slicer" name="State 1"/>
            </a:graphicData>
          </a:graphic>
        </xdr:graphicFrame>
      </mc:Choice>
      <mc:Fallback xmlns="">
        <xdr:sp macro="" textlink="">
          <xdr:nvSpPr>
            <xdr:cNvPr id="0" name=""/>
            <xdr:cNvSpPr>
              <a:spLocks noTextEdit="1"/>
            </xdr:cNvSpPr>
          </xdr:nvSpPr>
          <xdr:spPr>
            <a:xfrm>
              <a:off x="10776758" y="1622368"/>
              <a:ext cx="1818409" cy="23781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30480</xdr:colOff>
      <xdr:row>6</xdr:row>
      <xdr:rowOff>83820</xdr:rowOff>
    </xdr:from>
    <xdr:to>
      <xdr:col>6</xdr:col>
      <xdr:colOff>266700</xdr:colOff>
      <xdr:row>19</xdr:row>
      <xdr:rowOff>22860</xdr:rowOff>
    </xdr:to>
    <xdr:graphicFrame macro="">
      <xdr:nvGraphicFramePr>
        <xdr:cNvPr id="17" name="Chart 16">
          <a:extLst>
            <a:ext uri="{FF2B5EF4-FFF2-40B4-BE49-F238E27FC236}">
              <a16:creationId xmlns:a16="http://schemas.microsoft.com/office/drawing/2014/main" id="{100B5740-E74F-4A98-A37F-A7A29EF4D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338666</xdr:colOff>
      <xdr:row>19</xdr:row>
      <xdr:rowOff>38486</xdr:rowOff>
    </xdr:from>
    <xdr:to>
      <xdr:col>17</xdr:col>
      <xdr:colOff>452274</xdr:colOff>
      <xdr:row>33</xdr:row>
      <xdr:rowOff>15240</xdr:rowOff>
    </xdr:to>
    <xdr:graphicFrame macro="">
      <xdr:nvGraphicFramePr>
        <xdr:cNvPr id="18" name="Chart 17">
          <a:extLst>
            <a:ext uri="{FF2B5EF4-FFF2-40B4-BE49-F238E27FC236}">
              <a16:creationId xmlns:a16="http://schemas.microsoft.com/office/drawing/2014/main" id="{656F828D-A49A-4CD4-9D4E-2EFB77D827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38100</xdr:colOff>
      <xdr:row>6</xdr:row>
      <xdr:rowOff>45720</xdr:rowOff>
    </xdr:from>
    <xdr:to>
      <xdr:col>6</xdr:col>
      <xdr:colOff>259080</xdr:colOff>
      <xdr:row>18</xdr:row>
      <xdr:rowOff>160020</xdr:rowOff>
    </xdr:to>
    <xdr:sp macro="" textlink="">
      <xdr:nvSpPr>
        <xdr:cNvPr id="19" name="Rectangle 18">
          <a:extLst>
            <a:ext uri="{FF2B5EF4-FFF2-40B4-BE49-F238E27FC236}">
              <a16:creationId xmlns:a16="http://schemas.microsoft.com/office/drawing/2014/main" id="{FD72D1E7-E841-9CC1-E51E-C50EF2F7A62E}"/>
            </a:ext>
          </a:extLst>
        </xdr:cNvPr>
        <xdr:cNvSpPr/>
      </xdr:nvSpPr>
      <xdr:spPr>
        <a:xfrm>
          <a:off x="38100" y="1143000"/>
          <a:ext cx="3878580" cy="2308860"/>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586740</xdr:colOff>
      <xdr:row>6</xdr:row>
      <xdr:rowOff>53878</xdr:rowOff>
    </xdr:from>
    <xdr:to>
      <xdr:col>17</xdr:col>
      <xdr:colOff>438728</xdr:colOff>
      <xdr:row>18</xdr:row>
      <xdr:rowOff>152400</xdr:rowOff>
    </xdr:to>
    <xdr:sp macro="" textlink="">
      <xdr:nvSpPr>
        <xdr:cNvPr id="20" name="Rectangle 19">
          <a:extLst>
            <a:ext uri="{FF2B5EF4-FFF2-40B4-BE49-F238E27FC236}">
              <a16:creationId xmlns:a16="http://schemas.microsoft.com/office/drawing/2014/main" id="{38104672-660E-4413-89BF-A096F4BFFC30}"/>
            </a:ext>
          </a:extLst>
        </xdr:cNvPr>
        <xdr:cNvSpPr/>
      </xdr:nvSpPr>
      <xdr:spPr>
        <a:xfrm>
          <a:off x="7275407" y="1162242"/>
          <a:ext cx="3500351" cy="2315249"/>
        </a:xfrm>
        <a:prstGeom prst="rect">
          <a:avLst/>
        </a:prstGeom>
        <a:no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22860</xdr:colOff>
      <xdr:row>6</xdr:row>
      <xdr:rowOff>115454</xdr:rowOff>
    </xdr:from>
    <xdr:to>
      <xdr:col>17</xdr:col>
      <xdr:colOff>407940</xdr:colOff>
      <xdr:row>18</xdr:row>
      <xdr:rowOff>99060</xdr:rowOff>
    </xdr:to>
    <xdr:graphicFrame macro="">
      <xdr:nvGraphicFramePr>
        <xdr:cNvPr id="21" name="Chart 20">
          <a:extLst>
            <a:ext uri="{FF2B5EF4-FFF2-40B4-BE49-F238E27FC236}">
              <a16:creationId xmlns:a16="http://schemas.microsoft.com/office/drawing/2014/main" id="{1F655887-0CE4-4FD8-BDF6-7AA046D98C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19</xdr:row>
      <xdr:rowOff>68580</xdr:rowOff>
    </xdr:from>
    <xdr:to>
      <xdr:col>6</xdr:col>
      <xdr:colOff>269394</xdr:colOff>
      <xdr:row>33</xdr:row>
      <xdr:rowOff>38100</xdr:rowOff>
    </xdr:to>
    <xdr:graphicFrame macro="">
      <xdr:nvGraphicFramePr>
        <xdr:cNvPr id="22" name="Chart 21">
          <a:extLst>
            <a:ext uri="{FF2B5EF4-FFF2-40B4-BE49-F238E27FC236}">
              <a16:creationId xmlns:a16="http://schemas.microsoft.com/office/drawing/2014/main" id="{B37FDC28-F0AF-4EB4-9ECF-5457B28BF5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320040</xdr:colOff>
      <xdr:row>6</xdr:row>
      <xdr:rowOff>45720</xdr:rowOff>
    </xdr:from>
    <xdr:to>
      <xdr:col>11</xdr:col>
      <xdr:colOff>525780</xdr:colOff>
      <xdr:row>18</xdr:row>
      <xdr:rowOff>175260</xdr:rowOff>
    </xdr:to>
    <xdr:graphicFrame macro="">
      <xdr:nvGraphicFramePr>
        <xdr:cNvPr id="23" name="Chart 22">
          <a:extLst>
            <a:ext uri="{FF2B5EF4-FFF2-40B4-BE49-F238E27FC236}">
              <a16:creationId xmlns:a16="http://schemas.microsoft.com/office/drawing/2014/main" id="{68D04AAA-7F12-4DFD-87DE-1A189AF943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0.0098</cdr:y>
    </cdr:from>
    <cdr:to>
      <cdr:x>1</cdr:x>
      <cdr:y>1</cdr:y>
    </cdr:to>
    <cdr:sp macro="" textlink="">
      <cdr:nvSpPr>
        <cdr:cNvPr id="2" name="Rectangle 1">
          <a:extLst xmlns:a="http://schemas.openxmlformats.org/drawingml/2006/main">
            <a:ext uri="{FF2B5EF4-FFF2-40B4-BE49-F238E27FC236}">
              <a16:creationId xmlns:a16="http://schemas.microsoft.com/office/drawing/2014/main" id="{FD72D1E7-E841-9CC1-E51E-C50EF2F7A62E}"/>
            </a:ext>
          </a:extLst>
        </cdr:cNvPr>
        <cdr:cNvSpPr/>
      </cdr:nvSpPr>
      <cdr:spPr>
        <a:xfrm xmlns:a="http://schemas.openxmlformats.org/drawingml/2006/main">
          <a:off x="50800" y="50800"/>
          <a:ext cx="3878580" cy="2308860"/>
        </a:xfrm>
        <a:prstGeom xmlns:a="http://schemas.openxmlformats.org/drawingml/2006/main" prst="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p>
      </cdr:txBody>
    </cdr:sp>
  </cdr:relSizeAnchor>
</c:userShapes>
</file>

<file path=xl/drawings/drawing5.xml><?xml version="1.0" encoding="utf-8"?>
<c:userShapes xmlns:c="http://schemas.openxmlformats.org/drawingml/2006/chart">
  <cdr:relSizeAnchor xmlns:cdr="http://schemas.openxmlformats.org/drawingml/2006/chartDrawing">
    <cdr:from>
      <cdr:x>0.00768</cdr:x>
      <cdr:y>0</cdr:y>
    </cdr:from>
    <cdr:to>
      <cdr:x>1</cdr:x>
      <cdr:y>1</cdr:y>
    </cdr:to>
    <cdr:sp macro="" textlink="">
      <cdr:nvSpPr>
        <cdr:cNvPr id="2" name="Rectangle 1">
          <a:extLst xmlns:a="http://schemas.openxmlformats.org/drawingml/2006/main">
            <a:ext uri="{FF2B5EF4-FFF2-40B4-BE49-F238E27FC236}">
              <a16:creationId xmlns:a16="http://schemas.microsoft.com/office/drawing/2014/main" id="{CE0B7919-2DCB-1C37-5C09-EE471E6BDF90}"/>
            </a:ext>
          </a:extLst>
        </cdr:cNvPr>
        <cdr:cNvSpPr/>
      </cdr:nvSpPr>
      <cdr:spPr>
        <a:xfrm xmlns:a="http://schemas.openxmlformats.org/drawingml/2006/main">
          <a:off x="30480" y="15240"/>
          <a:ext cx="3939540" cy="2621280"/>
        </a:xfrm>
        <a:prstGeom xmlns:a="http://schemas.openxmlformats.org/drawingml/2006/main" prst="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IN" kern="1200"/>
        </a:p>
      </cdr:txBody>
    </cdr:sp>
  </cdr:relSizeAnchor>
</c:userShapes>
</file>

<file path=xl/drawings/drawing6.xml><?xml version="1.0" encoding="utf-8"?>
<c:userShapes xmlns:c="http://schemas.openxmlformats.org/drawingml/2006/chart">
  <cdr:relSizeAnchor xmlns:cdr="http://schemas.openxmlformats.org/drawingml/2006/chartDrawing">
    <cdr:from>
      <cdr:x>0</cdr:x>
      <cdr:y>0</cdr:y>
    </cdr:from>
    <cdr:to>
      <cdr:x>1</cdr:x>
      <cdr:y>1</cdr:y>
    </cdr:to>
    <cdr:sp macro="" textlink="">
      <cdr:nvSpPr>
        <cdr:cNvPr id="2" name="Rectangle 1">
          <a:extLst xmlns:a="http://schemas.openxmlformats.org/drawingml/2006/main">
            <a:ext uri="{FF2B5EF4-FFF2-40B4-BE49-F238E27FC236}">
              <a16:creationId xmlns:a16="http://schemas.microsoft.com/office/drawing/2014/main" id="{38104672-660E-4413-89BF-A096F4BFFC30}"/>
            </a:ext>
          </a:extLst>
        </cdr:cNvPr>
        <cdr:cNvSpPr/>
      </cdr:nvSpPr>
      <cdr:spPr>
        <a:xfrm xmlns:a="http://schemas.openxmlformats.org/drawingml/2006/main">
          <a:off x="50800" y="50800"/>
          <a:ext cx="3253740" cy="2293620"/>
        </a:xfrm>
        <a:prstGeom xmlns:a="http://schemas.openxmlformats.org/drawingml/2006/main" prst="rect">
          <a:avLst/>
        </a:prstGeom>
        <a:noFill xmlns:a="http://schemas.openxmlformats.org/drawingml/2006/main"/>
      </cdr:spPr>
      <cdr:style>
        <a:lnRef xmlns:a="http://schemas.openxmlformats.org/drawingml/2006/main" idx="2">
          <a:schemeClr val="accent1">
            <a:shade val="15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rot="0" spcFirstLastPara="0" vert="horz" wrap="square" lIns="91440" tIns="45720" rIns="91440" bIns="45720" numCol="1" spcCol="0" rtlCol="0" fromWordArt="0" anchor="t" anchorCtr="0" forceAA="0" compatLnSpc="1">
          <a:prstTxWarp prst="textNoShape">
            <a:avLst/>
          </a:prstTxWarp>
          <a:noAutofit/>
        </a:bodyPr>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pPr algn="l"/>
          <a:endParaRPr lang="en-IN" sz="1100"/>
        </a:p>
      </cdr:txBody>
    </cdr:sp>
  </cdr:relSizeAnchor>
</c:userShapes>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arti Kharat.. GSMCOE" refreshedDate="46273.515192592589" createdVersion="8" refreshedVersion="8" minRefreshableVersion="3" recordCount="1303" xr:uid="{F221DEFA-C696-4E7C-8E59-2482A10DDBE6}">
  <cacheSource type="worksheet">
    <worksheetSource name="Sales_Raw_Data"/>
  </cacheSource>
  <cacheFields count="9">
    <cacheField name="EMPID" numFmtId="0">
      <sharedItems/>
    </cacheField>
    <cacheField name="Sales Representive" numFmtId="0">
      <sharedItems count="5">
        <s v="John"/>
        <s v="Mark"/>
        <s v="Laura"/>
        <s v="Stacey"/>
        <s v="Bob"/>
      </sharedItems>
    </cacheField>
    <cacheField name="Date" numFmtId="14">
      <sharedItems containsSemiMixedTypes="0" containsNonDate="0" containsDate="1" containsString="0" minDate="2018-07-01T00:00:00" maxDate="2018-08-01T00:00:00" count="31">
        <d v="2018-07-01T00:00:00"/>
        <d v="2018-07-02T00:00:00"/>
        <d v="2018-07-03T00:00:00"/>
        <d v="2018-07-04T00:00:00"/>
        <d v="2018-07-05T00:00:00"/>
        <d v="2018-07-06T00:00:00"/>
        <d v="2018-07-07T00:00:00"/>
        <d v="2018-07-08T00:00:00"/>
        <d v="2018-07-09T00:00:00"/>
        <d v="2018-07-10T00:00:00"/>
        <d v="2018-07-11T00:00:00"/>
        <d v="2018-07-12T00:00:00"/>
        <d v="2018-07-13T00:00:00"/>
        <d v="2018-07-14T00:00:00"/>
        <d v="2018-07-15T00:00:00"/>
        <d v="2018-07-16T00:00:00"/>
        <d v="2018-07-17T00:00:00"/>
        <d v="2018-07-18T00:00:00"/>
        <d v="2018-07-19T00:00:00"/>
        <d v="2018-07-20T00:00:00"/>
        <d v="2018-07-21T00:00:00"/>
        <d v="2018-07-22T00:00:00"/>
        <d v="2018-07-23T00:00:00"/>
        <d v="2018-07-24T00:00:00"/>
        <d v="2018-07-25T00:00:00"/>
        <d v="2018-07-26T00:00:00"/>
        <d v="2018-07-27T00:00:00"/>
        <d v="2018-07-28T00:00:00"/>
        <d v="2018-07-29T00:00:00"/>
        <d v="2018-07-30T00:00:00"/>
        <d v="2018-07-31T00:00:00"/>
      </sharedItems>
    </cacheField>
    <cacheField name="Item" numFmtId="0">
      <sharedItems count="5">
        <s v="Printer"/>
        <s v="White Board"/>
        <s v="Office Chair"/>
        <s v="Diary"/>
        <s v="Projector"/>
      </sharedItems>
    </cacheField>
    <cacheField name="Quantity" numFmtId="0">
      <sharedItems containsSemiMixedTypes="0" containsString="0" containsNumber="1" containsInteger="1" minValue="2" maxValue="23"/>
    </cacheField>
    <cacheField name="Price" numFmtId="0">
      <sharedItems containsSemiMixedTypes="0" containsString="0" containsNumber="1" containsInteger="1" minValue="16" maxValue="230"/>
    </cacheField>
    <cacheField name="Total revenue" numFmtId="0">
      <sharedItems containsSemiMixedTypes="0" containsString="0" containsNumber="1" containsInteger="1" minValue="32" maxValue="5290"/>
    </cacheField>
    <cacheField name="Commission" numFmtId="0">
      <sharedItems containsSemiMixedTypes="0" containsString="0" containsNumber="1" minValue="0.01" maxValue="0.12"/>
    </cacheField>
    <cacheField name="State" numFmtId="0">
      <sharedItems count="13">
        <s v="Meghalaya"/>
        <s v="Uttar Pradesh"/>
        <s v="Maharashtra"/>
        <s v="Kashmir"/>
        <s v="West Bengal"/>
        <s v="Bihar"/>
        <s v="Goa"/>
        <s v="Karnataka"/>
        <s v="Gujarat"/>
        <s v="Jharkhand"/>
        <s v="Haryana"/>
        <s v="Kerala"/>
        <s v="Delhi"/>
      </sharedItems>
    </cacheField>
  </cacheFields>
  <extLst>
    <ext xmlns:x14="http://schemas.microsoft.com/office/spreadsheetml/2009/9/main" uri="{725AE2AE-9491-48be-B2B4-4EB974FC3084}">
      <x14:pivotCacheDefinition pivotCacheId="13904650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03">
  <r>
    <s v="EMP-ID-1"/>
    <x v="0"/>
    <x v="0"/>
    <x v="0"/>
    <n v="16"/>
    <n v="80"/>
    <n v="1280"/>
    <n v="0.01"/>
    <x v="0"/>
  </r>
  <r>
    <s v="EMP-ID-2"/>
    <x v="1"/>
    <x v="0"/>
    <x v="1"/>
    <n v="14"/>
    <n v="40"/>
    <n v="560"/>
    <n v="0.06"/>
    <x v="1"/>
  </r>
  <r>
    <s v="EMP-ID-3"/>
    <x v="1"/>
    <x v="0"/>
    <x v="2"/>
    <n v="22"/>
    <n v="230"/>
    <n v="5060"/>
    <n v="0.11"/>
    <x v="2"/>
  </r>
  <r>
    <s v="EMP-ID-4"/>
    <x v="0"/>
    <x v="0"/>
    <x v="2"/>
    <n v="8"/>
    <n v="230"/>
    <n v="1840"/>
    <n v="0.03"/>
    <x v="3"/>
  </r>
  <r>
    <s v="EMP-ID-5"/>
    <x v="2"/>
    <x v="0"/>
    <x v="2"/>
    <n v="12"/>
    <n v="230"/>
    <n v="2760"/>
    <n v="0.03"/>
    <x v="4"/>
  </r>
  <r>
    <s v="EMP-ID-6"/>
    <x v="3"/>
    <x v="0"/>
    <x v="0"/>
    <n v="19"/>
    <n v="80"/>
    <n v="1520"/>
    <n v="0.02"/>
    <x v="5"/>
  </r>
  <r>
    <s v="EMP-ID-7"/>
    <x v="4"/>
    <x v="0"/>
    <x v="3"/>
    <n v="17"/>
    <n v="16"/>
    <n v="272"/>
    <n v="0.08"/>
    <x v="6"/>
  </r>
  <r>
    <s v="EMP-ID-8"/>
    <x v="3"/>
    <x v="0"/>
    <x v="4"/>
    <n v="7"/>
    <n v="150"/>
    <n v="1050"/>
    <n v="0.05"/>
    <x v="7"/>
  </r>
  <r>
    <s v="EMP-ID-9"/>
    <x v="3"/>
    <x v="0"/>
    <x v="4"/>
    <n v="20"/>
    <n v="150"/>
    <n v="3000"/>
    <n v="0.1"/>
    <x v="8"/>
  </r>
  <r>
    <s v="EMP-ID-10"/>
    <x v="0"/>
    <x v="0"/>
    <x v="3"/>
    <n v="21"/>
    <n v="16"/>
    <n v="336"/>
    <n v="0.09"/>
    <x v="9"/>
  </r>
  <r>
    <s v="EMP-ID-11"/>
    <x v="1"/>
    <x v="0"/>
    <x v="2"/>
    <n v="7"/>
    <n v="230"/>
    <n v="1610"/>
    <n v="0.01"/>
    <x v="10"/>
  </r>
  <r>
    <s v="EMP-ID-12"/>
    <x v="3"/>
    <x v="1"/>
    <x v="0"/>
    <n v="7"/>
    <n v="80"/>
    <n v="560"/>
    <n v="7.0000000000000007E-2"/>
    <x v="11"/>
  </r>
  <r>
    <s v="EMP-ID-13"/>
    <x v="4"/>
    <x v="1"/>
    <x v="0"/>
    <n v="9"/>
    <n v="80"/>
    <n v="720"/>
    <n v="0.02"/>
    <x v="0"/>
  </r>
  <r>
    <s v="EMP-ID-14"/>
    <x v="4"/>
    <x v="1"/>
    <x v="1"/>
    <n v="16"/>
    <n v="40"/>
    <n v="640"/>
    <n v="0.09"/>
    <x v="1"/>
  </r>
  <r>
    <s v="EMP-ID-15"/>
    <x v="1"/>
    <x v="1"/>
    <x v="4"/>
    <n v="23"/>
    <n v="150"/>
    <n v="3450"/>
    <n v="0.11"/>
    <x v="2"/>
  </r>
  <r>
    <s v="EMP-ID-16"/>
    <x v="3"/>
    <x v="1"/>
    <x v="3"/>
    <n v="22"/>
    <n v="16"/>
    <n v="352"/>
    <n v="0.03"/>
    <x v="12"/>
  </r>
  <r>
    <s v="EMP-ID-17"/>
    <x v="3"/>
    <x v="1"/>
    <x v="1"/>
    <n v="23"/>
    <n v="40"/>
    <n v="920"/>
    <n v="0.06"/>
    <x v="4"/>
  </r>
  <r>
    <s v="EMP-ID-18"/>
    <x v="0"/>
    <x v="1"/>
    <x v="0"/>
    <n v="20"/>
    <n v="80"/>
    <n v="1600"/>
    <n v="0.01"/>
    <x v="5"/>
  </r>
  <r>
    <s v="EMP-ID-19"/>
    <x v="3"/>
    <x v="2"/>
    <x v="0"/>
    <n v="11"/>
    <n v="80"/>
    <n v="880"/>
    <n v="0.01"/>
    <x v="6"/>
  </r>
  <r>
    <s v="EMP-ID-20"/>
    <x v="3"/>
    <x v="2"/>
    <x v="1"/>
    <n v="9"/>
    <n v="40"/>
    <n v="360"/>
    <n v="0.06"/>
    <x v="7"/>
  </r>
  <r>
    <s v="EMP-ID-21"/>
    <x v="4"/>
    <x v="2"/>
    <x v="0"/>
    <n v="16"/>
    <n v="80"/>
    <n v="1280"/>
    <n v="0.09"/>
    <x v="8"/>
  </r>
  <r>
    <s v="EMP-ID-22"/>
    <x v="2"/>
    <x v="2"/>
    <x v="0"/>
    <n v="10"/>
    <n v="80"/>
    <n v="800"/>
    <n v="0.08"/>
    <x v="9"/>
  </r>
  <r>
    <s v="EMP-ID-23"/>
    <x v="2"/>
    <x v="2"/>
    <x v="3"/>
    <n v="12"/>
    <n v="16"/>
    <n v="192"/>
    <n v="0.11"/>
    <x v="10"/>
  </r>
  <r>
    <s v="EMP-ID-24"/>
    <x v="3"/>
    <x v="2"/>
    <x v="4"/>
    <n v="6"/>
    <n v="150"/>
    <n v="900"/>
    <n v="0.03"/>
    <x v="11"/>
  </r>
  <r>
    <s v="EMP-ID-25"/>
    <x v="2"/>
    <x v="2"/>
    <x v="3"/>
    <n v="11"/>
    <n v="16"/>
    <n v="176"/>
    <n v="0.04"/>
    <x v="0"/>
  </r>
  <r>
    <s v="EMP-ID-26"/>
    <x v="3"/>
    <x v="2"/>
    <x v="0"/>
    <n v="22"/>
    <n v="80"/>
    <n v="1760"/>
    <n v="0.03"/>
    <x v="1"/>
  </r>
  <r>
    <s v="EMP-ID-27"/>
    <x v="1"/>
    <x v="2"/>
    <x v="3"/>
    <n v="7"/>
    <n v="16"/>
    <n v="112"/>
    <n v="0.08"/>
    <x v="2"/>
  </r>
  <r>
    <s v="EMP-ID-28"/>
    <x v="3"/>
    <x v="2"/>
    <x v="1"/>
    <n v="13"/>
    <n v="40"/>
    <n v="520"/>
    <n v="0.09"/>
    <x v="12"/>
  </r>
  <r>
    <s v="EMP-ID-29"/>
    <x v="3"/>
    <x v="2"/>
    <x v="2"/>
    <n v="8"/>
    <n v="230"/>
    <n v="1840"/>
    <n v="0.05"/>
    <x v="4"/>
  </r>
  <r>
    <s v="EMP-ID-30"/>
    <x v="3"/>
    <x v="2"/>
    <x v="3"/>
    <n v="14"/>
    <n v="16"/>
    <n v="224"/>
    <n v="0.12"/>
    <x v="5"/>
  </r>
  <r>
    <s v="EMP-ID-31"/>
    <x v="4"/>
    <x v="2"/>
    <x v="1"/>
    <n v="16"/>
    <n v="40"/>
    <n v="640"/>
    <n v="0.09"/>
    <x v="6"/>
  </r>
  <r>
    <s v="EMP-ID-32"/>
    <x v="1"/>
    <x v="3"/>
    <x v="4"/>
    <n v="16"/>
    <n v="150"/>
    <n v="2400"/>
    <n v="0.05"/>
    <x v="7"/>
  </r>
  <r>
    <s v="EMP-ID-33"/>
    <x v="1"/>
    <x v="3"/>
    <x v="1"/>
    <n v="12"/>
    <n v="40"/>
    <n v="480"/>
    <n v="0.1"/>
    <x v="8"/>
  </r>
  <r>
    <s v="EMP-ID-34"/>
    <x v="4"/>
    <x v="3"/>
    <x v="0"/>
    <n v="17"/>
    <n v="80"/>
    <n v="1360"/>
    <n v="7.0000000000000007E-2"/>
    <x v="9"/>
  </r>
  <r>
    <s v="EMP-ID-35"/>
    <x v="3"/>
    <x v="3"/>
    <x v="2"/>
    <n v="19"/>
    <n v="230"/>
    <n v="4370"/>
    <n v="0.06"/>
    <x v="10"/>
  </r>
  <r>
    <s v="EMP-ID-36"/>
    <x v="4"/>
    <x v="3"/>
    <x v="2"/>
    <n v="22"/>
    <n v="230"/>
    <n v="5060"/>
    <n v="0.1"/>
    <x v="11"/>
  </r>
  <r>
    <s v="EMP-ID-37"/>
    <x v="3"/>
    <x v="3"/>
    <x v="1"/>
    <n v="22"/>
    <n v="40"/>
    <n v="880"/>
    <n v="0.01"/>
    <x v="0"/>
  </r>
  <r>
    <s v="EMP-ID-38"/>
    <x v="3"/>
    <x v="3"/>
    <x v="3"/>
    <n v="10"/>
    <n v="16"/>
    <n v="160"/>
    <n v="0.04"/>
    <x v="1"/>
  </r>
  <r>
    <s v="EMP-ID-39"/>
    <x v="1"/>
    <x v="3"/>
    <x v="1"/>
    <n v="4"/>
    <n v="40"/>
    <n v="160"/>
    <n v="0.12"/>
    <x v="2"/>
  </r>
  <r>
    <s v="EMP-ID-40"/>
    <x v="4"/>
    <x v="3"/>
    <x v="1"/>
    <n v="20"/>
    <n v="40"/>
    <n v="800"/>
    <n v="0.05"/>
    <x v="12"/>
  </r>
  <r>
    <s v="EMP-ID-41"/>
    <x v="3"/>
    <x v="4"/>
    <x v="2"/>
    <n v="23"/>
    <n v="230"/>
    <n v="5290"/>
    <n v="0.06"/>
    <x v="4"/>
  </r>
  <r>
    <s v="EMP-ID-42"/>
    <x v="2"/>
    <x v="4"/>
    <x v="1"/>
    <n v="20"/>
    <n v="40"/>
    <n v="800"/>
    <n v="0.01"/>
    <x v="5"/>
  </r>
  <r>
    <s v="EMP-ID-43"/>
    <x v="2"/>
    <x v="4"/>
    <x v="4"/>
    <n v="20"/>
    <n v="150"/>
    <n v="3000"/>
    <n v="0.04"/>
    <x v="6"/>
  </r>
  <r>
    <s v="EMP-ID-44"/>
    <x v="1"/>
    <x v="4"/>
    <x v="0"/>
    <n v="9"/>
    <n v="80"/>
    <n v="720"/>
    <n v="0.03"/>
    <x v="7"/>
  </r>
  <r>
    <s v="EMP-ID-45"/>
    <x v="0"/>
    <x v="4"/>
    <x v="2"/>
    <n v="7"/>
    <n v="230"/>
    <n v="1610"/>
    <n v="0.02"/>
    <x v="8"/>
  </r>
  <r>
    <s v="EMP-ID-46"/>
    <x v="0"/>
    <x v="4"/>
    <x v="2"/>
    <n v="3"/>
    <n v="230"/>
    <n v="690"/>
    <n v="0.06"/>
    <x v="9"/>
  </r>
  <r>
    <s v="EMP-ID-47"/>
    <x v="0"/>
    <x v="4"/>
    <x v="4"/>
    <n v="13"/>
    <n v="150"/>
    <n v="1950"/>
    <n v="0.05"/>
    <x v="10"/>
  </r>
  <r>
    <s v="EMP-ID-48"/>
    <x v="0"/>
    <x v="4"/>
    <x v="0"/>
    <n v="17"/>
    <n v="80"/>
    <n v="1360"/>
    <n v="0.09"/>
    <x v="11"/>
  </r>
  <r>
    <s v="EMP-ID-49"/>
    <x v="3"/>
    <x v="5"/>
    <x v="1"/>
    <n v="18"/>
    <n v="40"/>
    <n v="720"/>
    <n v="0.06"/>
    <x v="0"/>
  </r>
  <r>
    <s v="EMP-ID-50"/>
    <x v="2"/>
    <x v="5"/>
    <x v="3"/>
    <n v="23"/>
    <n v="16"/>
    <n v="368"/>
    <n v="0.11"/>
    <x v="1"/>
  </r>
  <r>
    <s v="EMP-ID-51"/>
    <x v="2"/>
    <x v="5"/>
    <x v="2"/>
    <n v="20"/>
    <n v="230"/>
    <n v="4600"/>
    <n v="0.06"/>
    <x v="2"/>
  </r>
  <r>
    <s v="EMP-ID-52"/>
    <x v="0"/>
    <x v="5"/>
    <x v="3"/>
    <n v="11"/>
    <n v="16"/>
    <n v="176"/>
    <n v="0.09"/>
    <x v="12"/>
  </r>
  <r>
    <s v="EMP-ID-53"/>
    <x v="4"/>
    <x v="5"/>
    <x v="4"/>
    <n v="15"/>
    <n v="150"/>
    <n v="2250"/>
    <n v="7.0000000000000007E-2"/>
    <x v="4"/>
  </r>
  <r>
    <s v="EMP-ID-54"/>
    <x v="1"/>
    <x v="5"/>
    <x v="2"/>
    <n v="6"/>
    <n v="230"/>
    <n v="1380"/>
    <n v="0.1"/>
    <x v="5"/>
  </r>
  <r>
    <s v="EMP-ID-55"/>
    <x v="0"/>
    <x v="5"/>
    <x v="1"/>
    <n v="22"/>
    <n v="40"/>
    <n v="880"/>
    <n v="0.02"/>
    <x v="6"/>
  </r>
  <r>
    <s v="EMP-ID-56"/>
    <x v="0"/>
    <x v="5"/>
    <x v="1"/>
    <n v="15"/>
    <n v="40"/>
    <n v="600"/>
    <n v="0.06"/>
    <x v="7"/>
  </r>
  <r>
    <s v="EMP-ID-57"/>
    <x v="2"/>
    <x v="5"/>
    <x v="3"/>
    <n v="12"/>
    <n v="16"/>
    <n v="192"/>
    <n v="0.03"/>
    <x v="8"/>
  </r>
  <r>
    <s v="EMP-ID-58"/>
    <x v="4"/>
    <x v="5"/>
    <x v="3"/>
    <n v="22"/>
    <n v="16"/>
    <n v="352"/>
    <n v="0.12"/>
    <x v="9"/>
  </r>
  <r>
    <s v="EMP-ID-59"/>
    <x v="0"/>
    <x v="5"/>
    <x v="0"/>
    <n v="21"/>
    <n v="80"/>
    <n v="1680"/>
    <n v="0.04"/>
    <x v="10"/>
  </r>
  <r>
    <s v="EMP-ID-60"/>
    <x v="0"/>
    <x v="5"/>
    <x v="4"/>
    <n v="22"/>
    <n v="150"/>
    <n v="3300"/>
    <n v="0.05"/>
    <x v="11"/>
  </r>
  <r>
    <s v="EMP-ID-61"/>
    <x v="4"/>
    <x v="5"/>
    <x v="0"/>
    <n v="21"/>
    <n v="80"/>
    <n v="1680"/>
    <n v="0.09"/>
    <x v="0"/>
  </r>
  <r>
    <s v="EMP-ID-62"/>
    <x v="3"/>
    <x v="5"/>
    <x v="0"/>
    <n v="10"/>
    <n v="80"/>
    <n v="800"/>
    <n v="0.1"/>
    <x v="1"/>
  </r>
  <r>
    <s v="EMP-ID-63"/>
    <x v="1"/>
    <x v="5"/>
    <x v="2"/>
    <n v="15"/>
    <n v="230"/>
    <n v="3450"/>
    <n v="0.09"/>
    <x v="2"/>
  </r>
  <r>
    <s v="EMP-ID-64"/>
    <x v="0"/>
    <x v="6"/>
    <x v="0"/>
    <n v="14"/>
    <n v="80"/>
    <n v="1120"/>
    <n v="0.08"/>
    <x v="12"/>
  </r>
  <r>
    <s v="EMP-ID-65"/>
    <x v="4"/>
    <x v="6"/>
    <x v="0"/>
    <n v="10"/>
    <n v="80"/>
    <n v="800"/>
    <n v="0.06"/>
    <x v="4"/>
  </r>
  <r>
    <s v="EMP-ID-66"/>
    <x v="0"/>
    <x v="6"/>
    <x v="4"/>
    <n v="5"/>
    <n v="150"/>
    <n v="750"/>
    <n v="0.11"/>
    <x v="5"/>
  </r>
  <r>
    <s v="EMP-ID-67"/>
    <x v="3"/>
    <x v="6"/>
    <x v="2"/>
    <n v="3"/>
    <n v="230"/>
    <n v="690"/>
    <n v="0.01"/>
    <x v="6"/>
  </r>
  <r>
    <s v="EMP-ID-68"/>
    <x v="3"/>
    <x v="6"/>
    <x v="1"/>
    <n v="4"/>
    <n v="40"/>
    <n v="160"/>
    <n v="0.05"/>
    <x v="7"/>
  </r>
  <r>
    <s v="EMP-ID-69"/>
    <x v="2"/>
    <x v="6"/>
    <x v="4"/>
    <n v="18"/>
    <n v="150"/>
    <n v="2700"/>
    <n v="0.06"/>
    <x v="8"/>
  </r>
  <r>
    <s v="EMP-ID-70"/>
    <x v="4"/>
    <x v="6"/>
    <x v="1"/>
    <n v="20"/>
    <n v="40"/>
    <n v="800"/>
    <n v="0.1"/>
    <x v="9"/>
  </r>
  <r>
    <s v="EMP-ID-71"/>
    <x v="3"/>
    <x v="6"/>
    <x v="0"/>
    <n v="16"/>
    <n v="80"/>
    <n v="1280"/>
    <n v="0.05"/>
    <x v="0"/>
  </r>
  <r>
    <s v="EMP-ID-72"/>
    <x v="2"/>
    <x v="6"/>
    <x v="1"/>
    <n v="4"/>
    <n v="40"/>
    <n v="160"/>
    <n v="0.06"/>
    <x v="1"/>
  </r>
  <r>
    <s v="EMP-ID-73"/>
    <x v="1"/>
    <x v="6"/>
    <x v="1"/>
    <n v="4"/>
    <n v="40"/>
    <n v="160"/>
    <n v="0.03"/>
    <x v="2"/>
  </r>
  <r>
    <s v="EMP-ID-74"/>
    <x v="1"/>
    <x v="6"/>
    <x v="1"/>
    <n v="15"/>
    <n v="40"/>
    <n v="600"/>
    <n v="0.02"/>
    <x v="12"/>
  </r>
  <r>
    <s v="EMP-ID-75"/>
    <x v="2"/>
    <x v="6"/>
    <x v="1"/>
    <n v="20"/>
    <n v="40"/>
    <n v="800"/>
    <n v="0.01"/>
    <x v="4"/>
  </r>
  <r>
    <s v="EMP-ID-76"/>
    <x v="4"/>
    <x v="6"/>
    <x v="3"/>
    <n v="14"/>
    <n v="16"/>
    <n v="224"/>
    <n v="0.06"/>
    <x v="5"/>
  </r>
  <r>
    <s v="EMP-ID-77"/>
    <x v="2"/>
    <x v="7"/>
    <x v="4"/>
    <n v="11"/>
    <n v="150"/>
    <n v="1650"/>
    <n v="0.11"/>
    <x v="6"/>
  </r>
  <r>
    <s v="EMP-ID-78"/>
    <x v="2"/>
    <x v="7"/>
    <x v="4"/>
    <n v="9"/>
    <n v="150"/>
    <n v="1350"/>
    <n v="0.02"/>
    <x v="7"/>
  </r>
  <r>
    <s v="EMP-ID-79"/>
    <x v="4"/>
    <x v="7"/>
    <x v="3"/>
    <n v="11"/>
    <n v="16"/>
    <n v="176"/>
    <n v="0.12"/>
    <x v="8"/>
  </r>
  <r>
    <s v="EMP-ID-80"/>
    <x v="2"/>
    <x v="7"/>
    <x v="1"/>
    <n v="13"/>
    <n v="40"/>
    <n v="520"/>
    <n v="0.02"/>
    <x v="9"/>
  </r>
  <r>
    <s v="EMP-ID-81"/>
    <x v="2"/>
    <x v="7"/>
    <x v="1"/>
    <n v="4"/>
    <n v="40"/>
    <n v="160"/>
    <n v="0.1"/>
    <x v="10"/>
  </r>
  <r>
    <s v="EMP-ID-82"/>
    <x v="0"/>
    <x v="7"/>
    <x v="2"/>
    <n v="3"/>
    <n v="230"/>
    <n v="690"/>
    <n v="0.11"/>
    <x v="11"/>
  </r>
  <r>
    <s v="EMP-ID-83"/>
    <x v="2"/>
    <x v="7"/>
    <x v="0"/>
    <n v="6"/>
    <n v="80"/>
    <n v="480"/>
    <n v="0.09"/>
    <x v="0"/>
  </r>
  <r>
    <s v="EMP-ID-84"/>
    <x v="0"/>
    <x v="7"/>
    <x v="4"/>
    <n v="9"/>
    <n v="150"/>
    <n v="1350"/>
    <n v="0.1"/>
    <x v="1"/>
  </r>
  <r>
    <s v="EMP-ID-85"/>
    <x v="1"/>
    <x v="7"/>
    <x v="0"/>
    <n v="14"/>
    <n v="80"/>
    <n v="1120"/>
    <n v="0.11"/>
    <x v="2"/>
  </r>
  <r>
    <s v="EMP-ID-86"/>
    <x v="0"/>
    <x v="7"/>
    <x v="0"/>
    <n v="18"/>
    <n v="80"/>
    <n v="1440"/>
    <n v="0.02"/>
    <x v="12"/>
  </r>
  <r>
    <s v="EMP-ID-87"/>
    <x v="0"/>
    <x v="7"/>
    <x v="1"/>
    <n v="20"/>
    <n v="40"/>
    <n v="800"/>
    <n v="0.04"/>
    <x v="4"/>
  </r>
  <r>
    <s v="EMP-ID-88"/>
    <x v="2"/>
    <x v="8"/>
    <x v="3"/>
    <n v="8"/>
    <n v="16"/>
    <n v="128"/>
    <n v="0.03"/>
    <x v="5"/>
  </r>
  <r>
    <s v="EMP-ID-89"/>
    <x v="1"/>
    <x v="8"/>
    <x v="0"/>
    <n v="14"/>
    <n v="80"/>
    <n v="1120"/>
    <n v="0.06"/>
    <x v="6"/>
  </r>
  <r>
    <s v="EMP-ID-90"/>
    <x v="0"/>
    <x v="8"/>
    <x v="4"/>
    <n v="20"/>
    <n v="150"/>
    <n v="3000"/>
    <n v="0.01"/>
    <x v="7"/>
  </r>
  <r>
    <s v="EMP-ID-91"/>
    <x v="3"/>
    <x v="8"/>
    <x v="1"/>
    <n v="15"/>
    <n v="40"/>
    <n v="600"/>
    <n v="0.03"/>
    <x v="8"/>
  </r>
  <r>
    <s v="EMP-ID-92"/>
    <x v="1"/>
    <x v="8"/>
    <x v="1"/>
    <n v="18"/>
    <n v="40"/>
    <n v="720"/>
    <n v="0.08"/>
    <x v="9"/>
  </r>
  <r>
    <s v="EMP-ID-93"/>
    <x v="4"/>
    <x v="8"/>
    <x v="1"/>
    <n v="11"/>
    <n v="40"/>
    <n v="440"/>
    <n v="0.05"/>
    <x v="10"/>
  </r>
  <r>
    <s v="EMP-ID-94"/>
    <x v="4"/>
    <x v="9"/>
    <x v="1"/>
    <n v="23"/>
    <n v="40"/>
    <n v="920"/>
    <n v="0.04"/>
    <x v="11"/>
  </r>
  <r>
    <s v="EMP-ID-95"/>
    <x v="4"/>
    <x v="9"/>
    <x v="3"/>
    <n v="17"/>
    <n v="16"/>
    <n v="272"/>
    <n v="0.1"/>
    <x v="0"/>
  </r>
  <r>
    <s v="EMP-ID-96"/>
    <x v="1"/>
    <x v="9"/>
    <x v="3"/>
    <n v="4"/>
    <n v="16"/>
    <n v="64"/>
    <n v="7.0000000000000007E-2"/>
    <x v="1"/>
  </r>
  <r>
    <s v="EMP-ID-97"/>
    <x v="2"/>
    <x v="9"/>
    <x v="0"/>
    <n v="23"/>
    <n v="80"/>
    <n v="1840"/>
    <n v="0.05"/>
    <x v="2"/>
  </r>
  <r>
    <s v="EMP-ID-98"/>
    <x v="2"/>
    <x v="9"/>
    <x v="2"/>
    <n v="10"/>
    <n v="230"/>
    <n v="2300"/>
    <n v="0.02"/>
    <x v="12"/>
  </r>
  <r>
    <s v="EMP-ID-99"/>
    <x v="2"/>
    <x v="9"/>
    <x v="3"/>
    <n v="14"/>
    <n v="16"/>
    <n v="224"/>
    <n v="0.01"/>
    <x v="4"/>
  </r>
  <r>
    <s v="EMP-ID-100"/>
    <x v="1"/>
    <x v="9"/>
    <x v="1"/>
    <n v="19"/>
    <n v="40"/>
    <n v="760"/>
    <n v="0.1"/>
    <x v="5"/>
  </r>
  <r>
    <s v="EMP-ID-101"/>
    <x v="4"/>
    <x v="9"/>
    <x v="0"/>
    <n v="22"/>
    <n v="80"/>
    <n v="1760"/>
    <n v="0.09"/>
    <x v="6"/>
  </r>
  <r>
    <s v="EMP-ID-102"/>
    <x v="0"/>
    <x v="9"/>
    <x v="3"/>
    <n v="18"/>
    <n v="16"/>
    <n v="288"/>
    <n v="0.05"/>
    <x v="7"/>
  </r>
  <r>
    <s v="EMP-ID-103"/>
    <x v="0"/>
    <x v="9"/>
    <x v="1"/>
    <n v="18"/>
    <n v="40"/>
    <n v="720"/>
    <n v="0.11"/>
    <x v="8"/>
  </r>
  <r>
    <s v="EMP-ID-104"/>
    <x v="4"/>
    <x v="9"/>
    <x v="1"/>
    <n v="21"/>
    <n v="40"/>
    <n v="840"/>
    <n v="0.01"/>
    <x v="9"/>
  </r>
  <r>
    <s v="EMP-ID-105"/>
    <x v="0"/>
    <x v="9"/>
    <x v="0"/>
    <n v="6"/>
    <n v="80"/>
    <n v="480"/>
    <n v="7.0000000000000007E-2"/>
    <x v="10"/>
  </r>
  <r>
    <s v="EMP-ID-106"/>
    <x v="4"/>
    <x v="9"/>
    <x v="4"/>
    <n v="17"/>
    <n v="150"/>
    <n v="2550"/>
    <n v="0.02"/>
    <x v="11"/>
  </r>
  <r>
    <s v="EMP-ID-107"/>
    <x v="2"/>
    <x v="9"/>
    <x v="0"/>
    <n v="16"/>
    <n v="80"/>
    <n v="1280"/>
    <n v="0.02"/>
    <x v="0"/>
  </r>
  <r>
    <s v="EMP-ID-108"/>
    <x v="1"/>
    <x v="9"/>
    <x v="1"/>
    <n v="15"/>
    <n v="40"/>
    <n v="600"/>
    <n v="0.04"/>
    <x v="1"/>
  </r>
  <r>
    <s v="EMP-ID-109"/>
    <x v="3"/>
    <x v="9"/>
    <x v="2"/>
    <n v="2"/>
    <n v="230"/>
    <n v="460"/>
    <n v="0.08"/>
    <x v="2"/>
  </r>
  <r>
    <s v="EMP-ID-110"/>
    <x v="4"/>
    <x v="9"/>
    <x v="1"/>
    <n v="3"/>
    <n v="40"/>
    <n v="120"/>
    <n v="0.03"/>
    <x v="12"/>
  </r>
  <r>
    <s v="EMP-ID-111"/>
    <x v="4"/>
    <x v="9"/>
    <x v="2"/>
    <n v="21"/>
    <n v="230"/>
    <n v="4830"/>
    <n v="0.05"/>
    <x v="4"/>
  </r>
  <r>
    <s v="EMP-ID-112"/>
    <x v="0"/>
    <x v="9"/>
    <x v="4"/>
    <n v="11"/>
    <n v="150"/>
    <n v="1650"/>
    <n v="0.05"/>
    <x v="5"/>
  </r>
  <r>
    <s v="EMP-ID-113"/>
    <x v="1"/>
    <x v="10"/>
    <x v="4"/>
    <n v="15"/>
    <n v="150"/>
    <n v="2250"/>
    <n v="0.02"/>
    <x v="6"/>
  </r>
  <r>
    <s v="EMP-ID-114"/>
    <x v="3"/>
    <x v="10"/>
    <x v="0"/>
    <n v="16"/>
    <n v="80"/>
    <n v="1280"/>
    <n v="0.1"/>
    <x v="7"/>
  </r>
  <r>
    <s v="EMP-ID-115"/>
    <x v="4"/>
    <x v="10"/>
    <x v="2"/>
    <n v="17"/>
    <n v="230"/>
    <n v="3910"/>
    <n v="0.11"/>
    <x v="8"/>
  </r>
  <r>
    <s v="EMP-ID-116"/>
    <x v="4"/>
    <x v="10"/>
    <x v="1"/>
    <n v="16"/>
    <n v="40"/>
    <n v="640"/>
    <n v="0.11"/>
    <x v="9"/>
  </r>
  <r>
    <s v="EMP-ID-117"/>
    <x v="3"/>
    <x v="10"/>
    <x v="0"/>
    <n v="2"/>
    <n v="80"/>
    <n v="160"/>
    <n v="0.08"/>
    <x v="10"/>
  </r>
  <r>
    <s v="EMP-ID-118"/>
    <x v="1"/>
    <x v="10"/>
    <x v="4"/>
    <n v="22"/>
    <n v="150"/>
    <n v="3300"/>
    <n v="0.02"/>
    <x v="11"/>
  </r>
  <r>
    <s v="EMP-ID-119"/>
    <x v="0"/>
    <x v="10"/>
    <x v="0"/>
    <n v="16"/>
    <n v="80"/>
    <n v="1280"/>
    <n v="0.03"/>
    <x v="0"/>
  </r>
  <r>
    <s v="EMP-ID-120"/>
    <x v="0"/>
    <x v="11"/>
    <x v="3"/>
    <n v="20"/>
    <n v="16"/>
    <n v="320"/>
    <n v="0.11"/>
    <x v="1"/>
  </r>
  <r>
    <s v="EMP-ID-121"/>
    <x v="4"/>
    <x v="11"/>
    <x v="0"/>
    <n v="9"/>
    <n v="80"/>
    <n v="720"/>
    <n v="7.0000000000000007E-2"/>
    <x v="2"/>
  </r>
  <r>
    <s v="EMP-ID-122"/>
    <x v="4"/>
    <x v="11"/>
    <x v="2"/>
    <n v="5"/>
    <n v="230"/>
    <n v="1150"/>
    <n v="0.12"/>
    <x v="12"/>
  </r>
  <r>
    <s v="EMP-ID-123"/>
    <x v="0"/>
    <x v="11"/>
    <x v="3"/>
    <n v="20"/>
    <n v="16"/>
    <n v="320"/>
    <n v="0.01"/>
    <x v="4"/>
  </r>
  <r>
    <s v="EMP-ID-124"/>
    <x v="0"/>
    <x v="11"/>
    <x v="3"/>
    <n v="16"/>
    <n v="16"/>
    <n v="256"/>
    <n v="0.03"/>
    <x v="5"/>
  </r>
  <r>
    <s v="EMP-ID-125"/>
    <x v="3"/>
    <x v="11"/>
    <x v="4"/>
    <n v="15"/>
    <n v="150"/>
    <n v="2250"/>
    <n v="0.05"/>
    <x v="6"/>
  </r>
  <r>
    <s v="EMP-ID-126"/>
    <x v="1"/>
    <x v="11"/>
    <x v="2"/>
    <n v="19"/>
    <n v="230"/>
    <n v="4370"/>
    <n v="0.11"/>
    <x v="7"/>
  </r>
  <r>
    <s v="EMP-ID-127"/>
    <x v="2"/>
    <x v="12"/>
    <x v="4"/>
    <n v="2"/>
    <n v="150"/>
    <n v="300"/>
    <n v="0.02"/>
    <x v="8"/>
  </r>
  <r>
    <s v="EMP-ID-128"/>
    <x v="4"/>
    <x v="12"/>
    <x v="0"/>
    <n v="16"/>
    <n v="80"/>
    <n v="1280"/>
    <n v="0.05"/>
    <x v="9"/>
  </r>
  <r>
    <s v="EMP-ID-129"/>
    <x v="2"/>
    <x v="12"/>
    <x v="1"/>
    <n v="2"/>
    <n v="40"/>
    <n v="80"/>
    <n v="0.03"/>
    <x v="10"/>
  </r>
  <r>
    <s v="EMP-ID-130"/>
    <x v="1"/>
    <x v="12"/>
    <x v="0"/>
    <n v="5"/>
    <n v="80"/>
    <n v="400"/>
    <n v="0.04"/>
    <x v="11"/>
  </r>
  <r>
    <s v="EMP-ID-131"/>
    <x v="3"/>
    <x v="12"/>
    <x v="2"/>
    <n v="17"/>
    <n v="230"/>
    <n v="3910"/>
    <n v="0.12"/>
    <x v="0"/>
  </r>
  <r>
    <s v="EMP-ID-132"/>
    <x v="0"/>
    <x v="12"/>
    <x v="0"/>
    <n v="8"/>
    <n v="80"/>
    <n v="640"/>
    <n v="0.08"/>
    <x v="1"/>
  </r>
  <r>
    <s v="EMP-ID-133"/>
    <x v="1"/>
    <x v="12"/>
    <x v="1"/>
    <n v="4"/>
    <n v="40"/>
    <n v="160"/>
    <n v="0.06"/>
    <x v="2"/>
  </r>
  <r>
    <s v="EMP-ID-134"/>
    <x v="2"/>
    <x v="12"/>
    <x v="3"/>
    <n v="17"/>
    <n v="16"/>
    <n v="272"/>
    <n v="0.05"/>
    <x v="12"/>
  </r>
  <r>
    <s v="EMP-ID-135"/>
    <x v="3"/>
    <x v="12"/>
    <x v="2"/>
    <n v="8"/>
    <n v="230"/>
    <n v="1840"/>
    <n v="0.01"/>
    <x v="4"/>
  </r>
  <r>
    <s v="EMP-ID-136"/>
    <x v="4"/>
    <x v="12"/>
    <x v="3"/>
    <n v="19"/>
    <n v="16"/>
    <n v="304"/>
    <n v="0.02"/>
    <x v="5"/>
  </r>
  <r>
    <s v="EMP-ID-137"/>
    <x v="0"/>
    <x v="13"/>
    <x v="1"/>
    <n v="18"/>
    <n v="40"/>
    <n v="720"/>
    <n v="0.06"/>
    <x v="6"/>
  </r>
  <r>
    <s v="EMP-ID-138"/>
    <x v="4"/>
    <x v="13"/>
    <x v="4"/>
    <n v="23"/>
    <n v="150"/>
    <n v="3450"/>
    <n v="0.08"/>
    <x v="7"/>
  </r>
  <r>
    <s v="EMP-ID-139"/>
    <x v="0"/>
    <x v="13"/>
    <x v="2"/>
    <n v="5"/>
    <n v="230"/>
    <n v="1150"/>
    <n v="0.1"/>
    <x v="8"/>
  </r>
  <r>
    <s v="EMP-ID-140"/>
    <x v="3"/>
    <x v="13"/>
    <x v="0"/>
    <n v="21"/>
    <n v="80"/>
    <n v="1680"/>
    <n v="0.02"/>
    <x v="9"/>
  </r>
  <r>
    <s v="EMP-ID-141"/>
    <x v="2"/>
    <x v="13"/>
    <x v="3"/>
    <n v="6"/>
    <n v="16"/>
    <n v="96"/>
    <n v="7.0000000000000007E-2"/>
    <x v="0"/>
  </r>
  <r>
    <s v="EMP-ID-142"/>
    <x v="0"/>
    <x v="13"/>
    <x v="1"/>
    <n v="9"/>
    <n v="40"/>
    <n v="360"/>
    <n v="0.01"/>
    <x v="1"/>
  </r>
  <r>
    <s v="EMP-ID-143"/>
    <x v="1"/>
    <x v="13"/>
    <x v="2"/>
    <n v="9"/>
    <n v="230"/>
    <n v="2070"/>
    <n v="0.03"/>
    <x v="2"/>
  </r>
  <r>
    <s v="EMP-ID-144"/>
    <x v="2"/>
    <x v="13"/>
    <x v="2"/>
    <n v="5"/>
    <n v="230"/>
    <n v="1150"/>
    <n v="0.1"/>
    <x v="12"/>
  </r>
  <r>
    <s v="EMP-ID-145"/>
    <x v="3"/>
    <x v="13"/>
    <x v="1"/>
    <n v="7"/>
    <n v="40"/>
    <n v="280"/>
    <n v="0.11"/>
    <x v="4"/>
  </r>
  <r>
    <s v="EMP-ID-146"/>
    <x v="0"/>
    <x v="13"/>
    <x v="2"/>
    <n v="20"/>
    <n v="230"/>
    <n v="4600"/>
    <n v="0.04"/>
    <x v="5"/>
  </r>
  <r>
    <s v="EMP-ID-147"/>
    <x v="0"/>
    <x v="13"/>
    <x v="4"/>
    <n v="22"/>
    <n v="150"/>
    <n v="3300"/>
    <n v="7.0000000000000007E-2"/>
    <x v="6"/>
  </r>
  <r>
    <s v="EMP-ID-148"/>
    <x v="2"/>
    <x v="14"/>
    <x v="2"/>
    <n v="6"/>
    <n v="230"/>
    <n v="1380"/>
    <n v="0.05"/>
    <x v="7"/>
  </r>
  <r>
    <s v="EMP-ID-149"/>
    <x v="2"/>
    <x v="14"/>
    <x v="2"/>
    <n v="15"/>
    <n v="230"/>
    <n v="3450"/>
    <n v="0.11"/>
    <x v="8"/>
  </r>
  <r>
    <s v="EMP-ID-150"/>
    <x v="1"/>
    <x v="14"/>
    <x v="1"/>
    <n v="8"/>
    <n v="40"/>
    <n v="320"/>
    <n v="0.09"/>
    <x v="9"/>
  </r>
  <r>
    <s v="EMP-ID-151"/>
    <x v="0"/>
    <x v="14"/>
    <x v="1"/>
    <n v="5"/>
    <n v="40"/>
    <n v="200"/>
    <n v="0.06"/>
    <x v="10"/>
  </r>
  <r>
    <s v="EMP-ID-152"/>
    <x v="4"/>
    <x v="14"/>
    <x v="0"/>
    <n v="6"/>
    <n v="80"/>
    <n v="480"/>
    <n v="0.09"/>
    <x v="11"/>
  </r>
  <r>
    <s v="EMP-ID-153"/>
    <x v="3"/>
    <x v="14"/>
    <x v="1"/>
    <n v="22"/>
    <n v="40"/>
    <n v="880"/>
    <n v="0.01"/>
    <x v="0"/>
  </r>
  <r>
    <s v="EMP-ID-154"/>
    <x v="0"/>
    <x v="14"/>
    <x v="3"/>
    <n v="7"/>
    <n v="16"/>
    <n v="112"/>
    <n v="0.08"/>
    <x v="1"/>
  </r>
  <r>
    <s v="EMP-ID-155"/>
    <x v="2"/>
    <x v="14"/>
    <x v="4"/>
    <n v="22"/>
    <n v="150"/>
    <n v="3300"/>
    <n v="0.04"/>
    <x v="2"/>
  </r>
  <r>
    <s v="EMP-ID-156"/>
    <x v="3"/>
    <x v="14"/>
    <x v="3"/>
    <n v="15"/>
    <n v="16"/>
    <n v="240"/>
    <n v="0.12"/>
    <x v="12"/>
  </r>
  <r>
    <s v="EMP-ID-157"/>
    <x v="2"/>
    <x v="14"/>
    <x v="0"/>
    <n v="20"/>
    <n v="80"/>
    <n v="1600"/>
    <n v="7.0000000000000007E-2"/>
    <x v="4"/>
  </r>
  <r>
    <s v="EMP-ID-158"/>
    <x v="2"/>
    <x v="14"/>
    <x v="0"/>
    <n v="7"/>
    <n v="80"/>
    <n v="560"/>
    <n v="0.05"/>
    <x v="5"/>
  </r>
  <r>
    <s v="EMP-ID-159"/>
    <x v="1"/>
    <x v="14"/>
    <x v="0"/>
    <n v="10"/>
    <n v="80"/>
    <n v="800"/>
    <n v="0.11"/>
    <x v="6"/>
  </r>
  <r>
    <s v="EMP-ID-160"/>
    <x v="1"/>
    <x v="14"/>
    <x v="0"/>
    <n v="2"/>
    <n v="80"/>
    <n v="160"/>
    <n v="7.0000000000000007E-2"/>
    <x v="7"/>
  </r>
  <r>
    <s v="EMP-ID-161"/>
    <x v="4"/>
    <x v="14"/>
    <x v="3"/>
    <n v="23"/>
    <n v="16"/>
    <n v="368"/>
    <n v="0.01"/>
    <x v="8"/>
  </r>
  <r>
    <s v="EMP-ID-162"/>
    <x v="1"/>
    <x v="14"/>
    <x v="2"/>
    <n v="12"/>
    <n v="230"/>
    <n v="2760"/>
    <n v="0.03"/>
    <x v="9"/>
  </r>
  <r>
    <s v="EMP-ID-163"/>
    <x v="0"/>
    <x v="15"/>
    <x v="2"/>
    <n v="7"/>
    <n v="230"/>
    <n v="1610"/>
    <n v="0.08"/>
    <x v="10"/>
  </r>
  <r>
    <s v="EMP-ID-164"/>
    <x v="3"/>
    <x v="15"/>
    <x v="1"/>
    <n v="11"/>
    <n v="40"/>
    <n v="440"/>
    <n v="0.06"/>
    <x v="11"/>
  </r>
  <r>
    <s v="EMP-ID-165"/>
    <x v="1"/>
    <x v="15"/>
    <x v="2"/>
    <n v="7"/>
    <n v="230"/>
    <n v="1610"/>
    <n v="0.08"/>
    <x v="0"/>
  </r>
  <r>
    <s v="EMP-ID-166"/>
    <x v="0"/>
    <x v="15"/>
    <x v="0"/>
    <n v="8"/>
    <n v="80"/>
    <n v="640"/>
    <n v="0.09"/>
    <x v="1"/>
  </r>
  <r>
    <s v="EMP-ID-167"/>
    <x v="3"/>
    <x v="15"/>
    <x v="0"/>
    <n v="16"/>
    <n v="80"/>
    <n v="1280"/>
    <n v="7.0000000000000007E-2"/>
    <x v="2"/>
  </r>
  <r>
    <s v="EMP-ID-168"/>
    <x v="2"/>
    <x v="15"/>
    <x v="0"/>
    <n v="16"/>
    <n v="80"/>
    <n v="1280"/>
    <n v="0.04"/>
    <x v="12"/>
  </r>
  <r>
    <s v="EMP-ID-169"/>
    <x v="2"/>
    <x v="15"/>
    <x v="3"/>
    <n v="9"/>
    <n v="16"/>
    <n v="144"/>
    <n v="0.05"/>
    <x v="4"/>
  </r>
  <r>
    <s v="EMP-ID-170"/>
    <x v="4"/>
    <x v="15"/>
    <x v="4"/>
    <n v="11"/>
    <n v="150"/>
    <n v="1650"/>
    <n v="0.09"/>
    <x v="5"/>
  </r>
  <r>
    <s v="EMP-ID-171"/>
    <x v="0"/>
    <x v="15"/>
    <x v="3"/>
    <n v="4"/>
    <n v="16"/>
    <n v="64"/>
    <n v="0.12"/>
    <x v="6"/>
  </r>
  <r>
    <s v="EMP-ID-172"/>
    <x v="3"/>
    <x v="15"/>
    <x v="1"/>
    <n v="15"/>
    <n v="40"/>
    <n v="600"/>
    <n v="0.03"/>
    <x v="7"/>
  </r>
  <r>
    <s v="EMP-ID-173"/>
    <x v="4"/>
    <x v="15"/>
    <x v="1"/>
    <n v="20"/>
    <n v="40"/>
    <n v="800"/>
    <n v="0.03"/>
    <x v="8"/>
  </r>
  <r>
    <s v="EMP-ID-174"/>
    <x v="2"/>
    <x v="16"/>
    <x v="4"/>
    <n v="9"/>
    <n v="150"/>
    <n v="1350"/>
    <n v="0.06"/>
    <x v="9"/>
  </r>
  <r>
    <s v="EMP-ID-175"/>
    <x v="1"/>
    <x v="16"/>
    <x v="1"/>
    <n v="23"/>
    <n v="40"/>
    <n v="920"/>
    <n v="0.06"/>
    <x v="10"/>
  </r>
  <r>
    <s v="EMP-ID-176"/>
    <x v="4"/>
    <x v="16"/>
    <x v="0"/>
    <n v="13"/>
    <n v="80"/>
    <n v="1040"/>
    <n v="0.05"/>
    <x v="11"/>
  </r>
  <r>
    <s v="EMP-ID-177"/>
    <x v="0"/>
    <x v="16"/>
    <x v="3"/>
    <n v="22"/>
    <n v="16"/>
    <n v="352"/>
    <n v="0.01"/>
    <x v="0"/>
  </r>
  <r>
    <s v="EMP-ID-178"/>
    <x v="0"/>
    <x v="16"/>
    <x v="1"/>
    <n v="19"/>
    <n v="40"/>
    <n v="760"/>
    <n v="0.04"/>
    <x v="1"/>
  </r>
  <r>
    <s v="EMP-ID-179"/>
    <x v="3"/>
    <x v="16"/>
    <x v="0"/>
    <n v="4"/>
    <n v="80"/>
    <n v="320"/>
    <n v="0.11"/>
    <x v="2"/>
  </r>
  <r>
    <s v="EMP-ID-180"/>
    <x v="0"/>
    <x v="16"/>
    <x v="3"/>
    <n v="12"/>
    <n v="16"/>
    <n v="192"/>
    <n v="0.11"/>
    <x v="12"/>
  </r>
  <r>
    <s v="EMP-ID-181"/>
    <x v="1"/>
    <x v="16"/>
    <x v="4"/>
    <n v="16"/>
    <n v="150"/>
    <n v="2400"/>
    <n v="0.08"/>
    <x v="4"/>
  </r>
  <r>
    <s v="EMP-ID-182"/>
    <x v="0"/>
    <x v="16"/>
    <x v="0"/>
    <n v="7"/>
    <n v="80"/>
    <n v="560"/>
    <n v="0.02"/>
    <x v="5"/>
  </r>
  <r>
    <s v="EMP-ID-183"/>
    <x v="4"/>
    <x v="16"/>
    <x v="1"/>
    <n v="20"/>
    <n v="40"/>
    <n v="800"/>
    <n v="7.0000000000000007E-2"/>
    <x v="6"/>
  </r>
  <r>
    <s v="EMP-ID-184"/>
    <x v="1"/>
    <x v="16"/>
    <x v="0"/>
    <n v="15"/>
    <n v="80"/>
    <n v="1200"/>
    <n v="0.12"/>
    <x v="7"/>
  </r>
  <r>
    <s v="EMP-ID-185"/>
    <x v="0"/>
    <x v="16"/>
    <x v="1"/>
    <n v="5"/>
    <n v="40"/>
    <n v="200"/>
    <n v="0.09"/>
    <x v="8"/>
  </r>
  <r>
    <s v="EMP-ID-186"/>
    <x v="4"/>
    <x v="16"/>
    <x v="3"/>
    <n v="12"/>
    <n v="16"/>
    <n v="192"/>
    <n v="0.04"/>
    <x v="9"/>
  </r>
  <r>
    <s v="EMP-ID-187"/>
    <x v="3"/>
    <x v="17"/>
    <x v="4"/>
    <n v="3"/>
    <n v="150"/>
    <n v="450"/>
    <n v="0.01"/>
    <x v="10"/>
  </r>
  <r>
    <s v="EMP-ID-188"/>
    <x v="4"/>
    <x v="17"/>
    <x v="1"/>
    <n v="7"/>
    <n v="40"/>
    <n v="280"/>
    <n v="0.12"/>
    <x v="11"/>
  </r>
  <r>
    <s v="EMP-ID-189"/>
    <x v="1"/>
    <x v="17"/>
    <x v="0"/>
    <n v="2"/>
    <n v="80"/>
    <n v="160"/>
    <n v="0.04"/>
    <x v="0"/>
  </r>
  <r>
    <s v="EMP-ID-190"/>
    <x v="3"/>
    <x v="17"/>
    <x v="1"/>
    <n v="6"/>
    <n v="40"/>
    <n v="240"/>
    <n v="7.0000000000000007E-2"/>
    <x v="1"/>
  </r>
  <r>
    <s v="EMP-ID-191"/>
    <x v="2"/>
    <x v="17"/>
    <x v="3"/>
    <n v="6"/>
    <n v="16"/>
    <n v="96"/>
    <n v="0.06"/>
    <x v="2"/>
  </r>
  <r>
    <s v="EMP-ID-192"/>
    <x v="0"/>
    <x v="17"/>
    <x v="3"/>
    <n v="7"/>
    <n v="16"/>
    <n v="112"/>
    <n v="0.02"/>
    <x v="12"/>
  </r>
  <r>
    <s v="EMP-ID-193"/>
    <x v="1"/>
    <x v="17"/>
    <x v="3"/>
    <n v="20"/>
    <n v="16"/>
    <n v="320"/>
    <n v="0.06"/>
    <x v="4"/>
  </r>
  <r>
    <s v="EMP-ID-194"/>
    <x v="1"/>
    <x v="17"/>
    <x v="3"/>
    <n v="21"/>
    <n v="16"/>
    <n v="336"/>
    <n v="0.02"/>
    <x v="5"/>
  </r>
  <r>
    <s v="EMP-ID-195"/>
    <x v="3"/>
    <x v="17"/>
    <x v="0"/>
    <n v="21"/>
    <n v="80"/>
    <n v="1680"/>
    <n v="0.05"/>
    <x v="6"/>
  </r>
  <r>
    <s v="EMP-ID-196"/>
    <x v="3"/>
    <x v="17"/>
    <x v="3"/>
    <n v="10"/>
    <n v="16"/>
    <n v="160"/>
    <n v="0.01"/>
    <x v="7"/>
  </r>
  <r>
    <s v="EMP-ID-197"/>
    <x v="3"/>
    <x v="18"/>
    <x v="2"/>
    <n v="2"/>
    <n v="230"/>
    <n v="460"/>
    <n v="0.09"/>
    <x v="8"/>
  </r>
  <r>
    <s v="EMP-ID-198"/>
    <x v="0"/>
    <x v="18"/>
    <x v="4"/>
    <n v="20"/>
    <n v="150"/>
    <n v="3000"/>
    <n v="0.03"/>
    <x v="9"/>
  </r>
  <r>
    <s v="EMP-ID-199"/>
    <x v="0"/>
    <x v="18"/>
    <x v="1"/>
    <n v="23"/>
    <n v="40"/>
    <n v="920"/>
    <n v="0.03"/>
    <x v="10"/>
  </r>
  <r>
    <s v="EMP-ID-200"/>
    <x v="3"/>
    <x v="18"/>
    <x v="0"/>
    <n v="17"/>
    <n v="80"/>
    <n v="1360"/>
    <n v="0.05"/>
    <x v="11"/>
  </r>
  <r>
    <s v="EMP-ID-201"/>
    <x v="3"/>
    <x v="18"/>
    <x v="2"/>
    <n v="11"/>
    <n v="230"/>
    <n v="2530"/>
    <n v="0.12"/>
    <x v="0"/>
  </r>
  <r>
    <s v="EMP-ID-202"/>
    <x v="1"/>
    <x v="18"/>
    <x v="4"/>
    <n v="10"/>
    <n v="150"/>
    <n v="1500"/>
    <n v="0.01"/>
    <x v="1"/>
  </r>
  <r>
    <s v="EMP-ID-203"/>
    <x v="1"/>
    <x v="18"/>
    <x v="0"/>
    <n v="17"/>
    <n v="80"/>
    <n v="1360"/>
    <n v="0.03"/>
    <x v="2"/>
  </r>
  <r>
    <s v="EMP-ID-204"/>
    <x v="0"/>
    <x v="19"/>
    <x v="2"/>
    <n v="9"/>
    <n v="230"/>
    <n v="2070"/>
    <n v="7.0000000000000007E-2"/>
    <x v="12"/>
  </r>
  <r>
    <s v="EMP-ID-205"/>
    <x v="0"/>
    <x v="19"/>
    <x v="2"/>
    <n v="11"/>
    <n v="230"/>
    <n v="2530"/>
    <n v="0.02"/>
    <x v="4"/>
  </r>
  <r>
    <s v="EMP-ID-206"/>
    <x v="2"/>
    <x v="19"/>
    <x v="1"/>
    <n v="2"/>
    <n v="40"/>
    <n v="80"/>
    <n v="0.02"/>
    <x v="5"/>
  </r>
  <r>
    <s v="EMP-ID-207"/>
    <x v="4"/>
    <x v="19"/>
    <x v="2"/>
    <n v="3"/>
    <n v="230"/>
    <n v="690"/>
    <n v="0.1"/>
    <x v="6"/>
  </r>
  <r>
    <s v="EMP-ID-208"/>
    <x v="4"/>
    <x v="19"/>
    <x v="1"/>
    <n v="7"/>
    <n v="40"/>
    <n v="280"/>
    <n v="0.05"/>
    <x v="7"/>
  </r>
  <r>
    <s v="EMP-ID-209"/>
    <x v="1"/>
    <x v="19"/>
    <x v="4"/>
    <n v="20"/>
    <n v="150"/>
    <n v="3000"/>
    <n v="0.09"/>
    <x v="8"/>
  </r>
  <r>
    <s v="EMP-ID-210"/>
    <x v="2"/>
    <x v="19"/>
    <x v="1"/>
    <n v="4"/>
    <n v="40"/>
    <n v="160"/>
    <n v="0.11"/>
    <x v="9"/>
  </r>
  <r>
    <s v="EMP-ID-211"/>
    <x v="2"/>
    <x v="20"/>
    <x v="2"/>
    <n v="2"/>
    <n v="230"/>
    <n v="460"/>
    <n v="0.09"/>
    <x v="0"/>
  </r>
  <r>
    <s v="EMP-ID-212"/>
    <x v="1"/>
    <x v="20"/>
    <x v="1"/>
    <n v="7"/>
    <n v="40"/>
    <n v="280"/>
    <n v="0.01"/>
    <x v="1"/>
  </r>
  <r>
    <s v="EMP-ID-213"/>
    <x v="0"/>
    <x v="20"/>
    <x v="1"/>
    <n v="2"/>
    <n v="40"/>
    <n v="80"/>
    <n v="0.12"/>
    <x v="2"/>
  </r>
  <r>
    <s v="EMP-ID-214"/>
    <x v="1"/>
    <x v="20"/>
    <x v="0"/>
    <n v="3"/>
    <n v="80"/>
    <n v="240"/>
    <n v="0.02"/>
    <x v="12"/>
  </r>
  <r>
    <s v="EMP-ID-215"/>
    <x v="0"/>
    <x v="20"/>
    <x v="3"/>
    <n v="18"/>
    <n v="16"/>
    <n v="288"/>
    <n v="0.11"/>
    <x v="4"/>
  </r>
  <r>
    <s v="EMP-ID-216"/>
    <x v="1"/>
    <x v="20"/>
    <x v="0"/>
    <n v="5"/>
    <n v="80"/>
    <n v="400"/>
    <n v="7.0000000000000007E-2"/>
    <x v="5"/>
  </r>
  <r>
    <s v="EMP-ID-217"/>
    <x v="2"/>
    <x v="20"/>
    <x v="3"/>
    <n v="3"/>
    <n v="16"/>
    <n v="48"/>
    <n v="0.05"/>
    <x v="6"/>
  </r>
  <r>
    <s v="EMP-ID-218"/>
    <x v="3"/>
    <x v="20"/>
    <x v="0"/>
    <n v="7"/>
    <n v="80"/>
    <n v="560"/>
    <n v="0.02"/>
    <x v="7"/>
  </r>
  <r>
    <s v="EMP-ID-219"/>
    <x v="3"/>
    <x v="20"/>
    <x v="4"/>
    <n v="15"/>
    <n v="150"/>
    <n v="2250"/>
    <n v="0.08"/>
    <x v="8"/>
  </r>
  <r>
    <s v="EMP-ID-220"/>
    <x v="2"/>
    <x v="20"/>
    <x v="0"/>
    <n v="10"/>
    <n v="80"/>
    <n v="800"/>
    <n v="0.11"/>
    <x v="9"/>
  </r>
  <r>
    <s v="EMP-ID-221"/>
    <x v="4"/>
    <x v="20"/>
    <x v="2"/>
    <n v="13"/>
    <n v="230"/>
    <n v="2990"/>
    <n v="0.06"/>
    <x v="10"/>
  </r>
  <r>
    <s v="EMP-ID-222"/>
    <x v="0"/>
    <x v="20"/>
    <x v="1"/>
    <n v="7"/>
    <n v="40"/>
    <n v="280"/>
    <n v="0.1"/>
    <x v="11"/>
  </r>
  <r>
    <s v="EMP-ID-223"/>
    <x v="2"/>
    <x v="20"/>
    <x v="3"/>
    <n v="6"/>
    <n v="16"/>
    <n v="96"/>
    <n v="0.01"/>
    <x v="0"/>
  </r>
  <r>
    <s v="EMP-ID-224"/>
    <x v="2"/>
    <x v="21"/>
    <x v="1"/>
    <n v="11"/>
    <n v="40"/>
    <n v="440"/>
    <n v="0.05"/>
    <x v="1"/>
  </r>
  <r>
    <s v="EMP-ID-225"/>
    <x v="3"/>
    <x v="21"/>
    <x v="0"/>
    <n v="8"/>
    <n v="80"/>
    <n v="640"/>
    <n v="0.06"/>
    <x v="2"/>
  </r>
  <r>
    <s v="EMP-ID-226"/>
    <x v="0"/>
    <x v="21"/>
    <x v="0"/>
    <n v="9"/>
    <n v="80"/>
    <n v="720"/>
    <n v="0.04"/>
    <x v="12"/>
  </r>
  <r>
    <s v="EMP-ID-227"/>
    <x v="4"/>
    <x v="21"/>
    <x v="1"/>
    <n v="4"/>
    <n v="40"/>
    <n v="160"/>
    <n v="0.09"/>
    <x v="4"/>
  </r>
  <r>
    <s v="EMP-ID-228"/>
    <x v="1"/>
    <x v="21"/>
    <x v="0"/>
    <n v="13"/>
    <n v="80"/>
    <n v="1040"/>
    <n v="0.06"/>
    <x v="5"/>
  </r>
  <r>
    <s v="EMP-ID-229"/>
    <x v="4"/>
    <x v="21"/>
    <x v="4"/>
    <n v="4"/>
    <n v="150"/>
    <n v="600"/>
    <n v="0.05"/>
    <x v="6"/>
  </r>
  <r>
    <s v="EMP-ID-230"/>
    <x v="2"/>
    <x v="21"/>
    <x v="2"/>
    <n v="14"/>
    <n v="230"/>
    <n v="3220"/>
    <n v="0.12"/>
    <x v="7"/>
  </r>
  <r>
    <s v="EMP-ID-231"/>
    <x v="4"/>
    <x v="21"/>
    <x v="4"/>
    <n v="13"/>
    <n v="150"/>
    <n v="1950"/>
    <n v="0.11"/>
    <x v="8"/>
  </r>
  <r>
    <s v="EMP-ID-232"/>
    <x v="1"/>
    <x v="21"/>
    <x v="4"/>
    <n v="16"/>
    <n v="150"/>
    <n v="2400"/>
    <n v="0.03"/>
    <x v="9"/>
  </r>
  <r>
    <s v="EMP-ID-233"/>
    <x v="0"/>
    <x v="21"/>
    <x v="3"/>
    <n v="7"/>
    <n v="16"/>
    <n v="112"/>
    <n v="0.12"/>
    <x v="10"/>
  </r>
  <r>
    <s v="EMP-ID-234"/>
    <x v="3"/>
    <x v="21"/>
    <x v="4"/>
    <n v="9"/>
    <n v="150"/>
    <n v="1350"/>
    <n v="0.02"/>
    <x v="11"/>
  </r>
  <r>
    <s v="EMP-ID-235"/>
    <x v="0"/>
    <x v="21"/>
    <x v="3"/>
    <n v="10"/>
    <n v="16"/>
    <n v="160"/>
    <n v="0.08"/>
    <x v="0"/>
  </r>
  <r>
    <s v="EMP-ID-236"/>
    <x v="3"/>
    <x v="21"/>
    <x v="0"/>
    <n v="15"/>
    <n v="80"/>
    <n v="1200"/>
    <n v="0.08"/>
    <x v="1"/>
  </r>
  <r>
    <s v="EMP-ID-237"/>
    <x v="4"/>
    <x v="21"/>
    <x v="0"/>
    <n v="9"/>
    <n v="80"/>
    <n v="720"/>
    <n v="0.06"/>
    <x v="2"/>
  </r>
  <r>
    <s v="EMP-ID-238"/>
    <x v="3"/>
    <x v="22"/>
    <x v="3"/>
    <n v="7"/>
    <n v="16"/>
    <n v="112"/>
    <n v="0.08"/>
    <x v="12"/>
  </r>
  <r>
    <s v="EMP-ID-239"/>
    <x v="4"/>
    <x v="22"/>
    <x v="4"/>
    <n v="7"/>
    <n v="150"/>
    <n v="1050"/>
    <n v="0.03"/>
    <x v="4"/>
  </r>
  <r>
    <s v="EMP-ID-240"/>
    <x v="3"/>
    <x v="22"/>
    <x v="2"/>
    <n v="16"/>
    <n v="230"/>
    <n v="3680"/>
    <n v="0.11"/>
    <x v="5"/>
  </r>
  <r>
    <s v="EMP-ID-241"/>
    <x v="3"/>
    <x v="22"/>
    <x v="3"/>
    <n v="18"/>
    <n v="16"/>
    <n v="288"/>
    <n v="0.04"/>
    <x v="6"/>
  </r>
  <r>
    <s v="EMP-ID-242"/>
    <x v="4"/>
    <x v="22"/>
    <x v="2"/>
    <n v="20"/>
    <n v="230"/>
    <n v="4600"/>
    <n v="0.11"/>
    <x v="7"/>
  </r>
  <r>
    <s v="EMP-ID-243"/>
    <x v="0"/>
    <x v="22"/>
    <x v="4"/>
    <n v="7"/>
    <n v="150"/>
    <n v="1050"/>
    <n v="0.02"/>
    <x v="8"/>
  </r>
  <r>
    <s v="EMP-ID-244"/>
    <x v="2"/>
    <x v="22"/>
    <x v="3"/>
    <n v="11"/>
    <n v="16"/>
    <n v="176"/>
    <n v="0.12"/>
    <x v="9"/>
  </r>
  <r>
    <s v="EMP-ID-245"/>
    <x v="2"/>
    <x v="22"/>
    <x v="1"/>
    <n v="12"/>
    <n v="40"/>
    <n v="480"/>
    <n v="0.02"/>
    <x v="10"/>
  </r>
  <r>
    <s v="EMP-ID-246"/>
    <x v="4"/>
    <x v="22"/>
    <x v="4"/>
    <n v="7"/>
    <n v="150"/>
    <n v="1050"/>
    <n v="0.02"/>
    <x v="11"/>
  </r>
  <r>
    <s v="EMP-ID-247"/>
    <x v="2"/>
    <x v="22"/>
    <x v="0"/>
    <n v="14"/>
    <n v="80"/>
    <n v="1120"/>
    <n v="0.1"/>
    <x v="0"/>
  </r>
  <r>
    <s v="EMP-ID-248"/>
    <x v="2"/>
    <x v="22"/>
    <x v="2"/>
    <n v="12"/>
    <n v="230"/>
    <n v="2760"/>
    <n v="0.06"/>
    <x v="1"/>
  </r>
  <r>
    <s v="EMP-ID-249"/>
    <x v="1"/>
    <x v="23"/>
    <x v="0"/>
    <n v="21"/>
    <n v="80"/>
    <n v="1680"/>
    <n v="0.04"/>
    <x v="2"/>
  </r>
  <r>
    <s v="EMP-ID-250"/>
    <x v="0"/>
    <x v="23"/>
    <x v="4"/>
    <n v="8"/>
    <n v="150"/>
    <n v="1200"/>
    <n v="0.09"/>
    <x v="12"/>
  </r>
  <r>
    <s v="EMP-ID-251"/>
    <x v="1"/>
    <x v="23"/>
    <x v="0"/>
    <n v="16"/>
    <n v="80"/>
    <n v="1280"/>
    <n v="0.04"/>
    <x v="4"/>
  </r>
  <r>
    <s v="EMP-ID-252"/>
    <x v="1"/>
    <x v="23"/>
    <x v="2"/>
    <n v="14"/>
    <n v="230"/>
    <n v="3220"/>
    <n v="0.05"/>
    <x v="5"/>
  </r>
  <r>
    <s v="EMP-ID-253"/>
    <x v="2"/>
    <x v="23"/>
    <x v="1"/>
    <n v="2"/>
    <n v="40"/>
    <n v="80"/>
    <n v="0.03"/>
    <x v="6"/>
  </r>
  <r>
    <s v="EMP-ID-254"/>
    <x v="0"/>
    <x v="23"/>
    <x v="4"/>
    <n v="4"/>
    <n v="150"/>
    <n v="600"/>
    <n v="0.1"/>
    <x v="7"/>
  </r>
  <r>
    <s v="EMP-ID-255"/>
    <x v="2"/>
    <x v="23"/>
    <x v="0"/>
    <n v="6"/>
    <n v="80"/>
    <n v="480"/>
    <n v="0.01"/>
    <x v="8"/>
  </r>
  <r>
    <s v="EMP-ID-256"/>
    <x v="2"/>
    <x v="23"/>
    <x v="1"/>
    <n v="6"/>
    <n v="40"/>
    <n v="240"/>
    <n v="0.06"/>
    <x v="9"/>
  </r>
  <r>
    <s v="EMP-ID-257"/>
    <x v="0"/>
    <x v="23"/>
    <x v="4"/>
    <n v="20"/>
    <n v="150"/>
    <n v="3000"/>
    <n v="0.04"/>
    <x v="10"/>
  </r>
  <r>
    <s v="EMP-ID-258"/>
    <x v="2"/>
    <x v="23"/>
    <x v="1"/>
    <n v="18"/>
    <n v="40"/>
    <n v="720"/>
    <n v="0.03"/>
    <x v="11"/>
  </r>
  <r>
    <s v="EMP-ID-259"/>
    <x v="3"/>
    <x v="23"/>
    <x v="2"/>
    <n v="18"/>
    <n v="230"/>
    <n v="4140"/>
    <n v="0.01"/>
    <x v="0"/>
  </r>
  <r>
    <s v="EMP-ID-260"/>
    <x v="2"/>
    <x v="23"/>
    <x v="2"/>
    <n v="15"/>
    <n v="230"/>
    <n v="3450"/>
    <n v="0.04"/>
    <x v="1"/>
  </r>
  <r>
    <s v="EMP-ID-261"/>
    <x v="1"/>
    <x v="23"/>
    <x v="3"/>
    <n v="22"/>
    <n v="16"/>
    <n v="352"/>
    <n v="0.01"/>
    <x v="2"/>
  </r>
  <r>
    <s v="EMP-ID-262"/>
    <x v="0"/>
    <x v="23"/>
    <x v="4"/>
    <n v="17"/>
    <n v="150"/>
    <n v="2550"/>
    <n v="0.12"/>
    <x v="12"/>
  </r>
  <r>
    <s v="EMP-ID-263"/>
    <x v="1"/>
    <x v="24"/>
    <x v="3"/>
    <n v="5"/>
    <n v="16"/>
    <n v="80"/>
    <n v="0.11"/>
    <x v="4"/>
  </r>
  <r>
    <s v="EMP-ID-264"/>
    <x v="0"/>
    <x v="24"/>
    <x v="4"/>
    <n v="23"/>
    <n v="150"/>
    <n v="3450"/>
    <n v="0.1"/>
    <x v="5"/>
  </r>
  <r>
    <s v="EMP-ID-265"/>
    <x v="3"/>
    <x v="24"/>
    <x v="4"/>
    <n v="22"/>
    <n v="150"/>
    <n v="3300"/>
    <n v="0.05"/>
    <x v="6"/>
  </r>
  <r>
    <s v="EMP-ID-266"/>
    <x v="4"/>
    <x v="24"/>
    <x v="3"/>
    <n v="15"/>
    <n v="16"/>
    <n v="240"/>
    <n v="0.01"/>
    <x v="7"/>
  </r>
  <r>
    <s v="EMP-ID-267"/>
    <x v="3"/>
    <x v="24"/>
    <x v="1"/>
    <n v="7"/>
    <n v="40"/>
    <n v="280"/>
    <n v="7.0000000000000007E-2"/>
    <x v="8"/>
  </r>
  <r>
    <s v="EMP-ID-268"/>
    <x v="4"/>
    <x v="24"/>
    <x v="0"/>
    <n v="22"/>
    <n v="80"/>
    <n v="1760"/>
    <n v="0.11"/>
    <x v="9"/>
  </r>
  <r>
    <s v="EMP-ID-269"/>
    <x v="2"/>
    <x v="24"/>
    <x v="4"/>
    <n v="11"/>
    <n v="150"/>
    <n v="1650"/>
    <n v="0.05"/>
    <x v="10"/>
  </r>
  <r>
    <s v="EMP-ID-270"/>
    <x v="1"/>
    <x v="24"/>
    <x v="1"/>
    <n v="21"/>
    <n v="40"/>
    <n v="840"/>
    <n v="0.03"/>
    <x v="11"/>
  </r>
  <r>
    <s v="EMP-ID-271"/>
    <x v="3"/>
    <x v="24"/>
    <x v="0"/>
    <n v="23"/>
    <n v="80"/>
    <n v="1840"/>
    <n v="0.11"/>
    <x v="0"/>
  </r>
  <r>
    <s v="EMP-ID-272"/>
    <x v="2"/>
    <x v="24"/>
    <x v="2"/>
    <n v="7"/>
    <n v="230"/>
    <n v="1610"/>
    <n v="0.01"/>
    <x v="1"/>
  </r>
  <r>
    <s v="EMP-ID-273"/>
    <x v="0"/>
    <x v="24"/>
    <x v="2"/>
    <n v="16"/>
    <n v="230"/>
    <n v="3680"/>
    <n v="7.0000000000000007E-2"/>
    <x v="2"/>
  </r>
  <r>
    <s v="EMP-ID-274"/>
    <x v="1"/>
    <x v="24"/>
    <x v="0"/>
    <n v="14"/>
    <n v="80"/>
    <n v="1120"/>
    <n v="0.11"/>
    <x v="12"/>
  </r>
  <r>
    <s v="EMP-ID-275"/>
    <x v="2"/>
    <x v="24"/>
    <x v="4"/>
    <n v="22"/>
    <n v="150"/>
    <n v="3300"/>
    <n v="0.09"/>
    <x v="4"/>
  </r>
  <r>
    <s v="EMP-ID-276"/>
    <x v="3"/>
    <x v="24"/>
    <x v="4"/>
    <n v="4"/>
    <n v="150"/>
    <n v="600"/>
    <n v="0.12"/>
    <x v="5"/>
  </r>
  <r>
    <s v="EMP-ID-277"/>
    <x v="0"/>
    <x v="24"/>
    <x v="4"/>
    <n v="3"/>
    <n v="150"/>
    <n v="450"/>
    <n v="0.03"/>
    <x v="6"/>
  </r>
  <r>
    <s v="EMP-ID-278"/>
    <x v="4"/>
    <x v="24"/>
    <x v="1"/>
    <n v="17"/>
    <n v="40"/>
    <n v="680"/>
    <n v="0.02"/>
    <x v="7"/>
  </r>
  <r>
    <s v="EMP-ID-279"/>
    <x v="4"/>
    <x v="24"/>
    <x v="0"/>
    <n v="22"/>
    <n v="80"/>
    <n v="1760"/>
    <n v="0.1"/>
    <x v="8"/>
  </r>
  <r>
    <s v="EMP-ID-280"/>
    <x v="4"/>
    <x v="24"/>
    <x v="4"/>
    <n v="18"/>
    <n v="150"/>
    <n v="2700"/>
    <n v="0.12"/>
    <x v="9"/>
  </r>
  <r>
    <s v="EMP-ID-281"/>
    <x v="0"/>
    <x v="25"/>
    <x v="4"/>
    <n v="4"/>
    <n v="150"/>
    <n v="600"/>
    <n v="0.06"/>
    <x v="0"/>
  </r>
  <r>
    <s v="EMP-ID-282"/>
    <x v="1"/>
    <x v="25"/>
    <x v="2"/>
    <n v="22"/>
    <n v="230"/>
    <n v="5060"/>
    <n v="0.04"/>
    <x v="1"/>
  </r>
  <r>
    <s v="EMP-ID-283"/>
    <x v="1"/>
    <x v="25"/>
    <x v="4"/>
    <n v="15"/>
    <n v="150"/>
    <n v="2250"/>
    <n v="0.12"/>
    <x v="2"/>
  </r>
  <r>
    <s v="EMP-ID-284"/>
    <x v="0"/>
    <x v="25"/>
    <x v="0"/>
    <n v="17"/>
    <n v="80"/>
    <n v="1360"/>
    <n v="7.0000000000000007E-2"/>
    <x v="12"/>
  </r>
  <r>
    <s v="EMP-ID-285"/>
    <x v="4"/>
    <x v="25"/>
    <x v="1"/>
    <n v="10"/>
    <n v="40"/>
    <n v="400"/>
    <n v="0.03"/>
    <x v="4"/>
  </r>
  <r>
    <s v="EMP-ID-286"/>
    <x v="0"/>
    <x v="25"/>
    <x v="1"/>
    <n v="23"/>
    <n v="40"/>
    <n v="920"/>
    <n v="7.0000000000000007E-2"/>
    <x v="5"/>
  </r>
  <r>
    <s v="EMP-ID-287"/>
    <x v="1"/>
    <x v="25"/>
    <x v="3"/>
    <n v="22"/>
    <n v="16"/>
    <n v="352"/>
    <n v="0.04"/>
    <x v="6"/>
  </r>
  <r>
    <s v="EMP-ID-288"/>
    <x v="2"/>
    <x v="25"/>
    <x v="0"/>
    <n v="8"/>
    <n v="80"/>
    <n v="640"/>
    <n v="0.02"/>
    <x v="7"/>
  </r>
  <r>
    <s v="EMP-ID-289"/>
    <x v="1"/>
    <x v="25"/>
    <x v="3"/>
    <n v="4"/>
    <n v="16"/>
    <n v="64"/>
    <n v="0.09"/>
    <x v="8"/>
  </r>
  <r>
    <s v="EMP-ID-290"/>
    <x v="3"/>
    <x v="25"/>
    <x v="1"/>
    <n v="11"/>
    <n v="40"/>
    <n v="440"/>
    <n v="0.09"/>
    <x v="9"/>
  </r>
  <r>
    <s v="EMP-ID-291"/>
    <x v="2"/>
    <x v="25"/>
    <x v="2"/>
    <n v="18"/>
    <n v="230"/>
    <n v="4140"/>
    <n v="0.01"/>
    <x v="10"/>
  </r>
  <r>
    <s v="EMP-ID-292"/>
    <x v="1"/>
    <x v="26"/>
    <x v="2"/>
    <n v="11"/>
    <n v="230"/>
    <n v="2530"/>
    <n v="0.1"/>
    <x v="11"/>
  </r>
  <r>
    <s v="EMP-ID-293"/>
    <x v="0"/>
    <x v="26"/>
    <x v="2"/>
    <n v="15"/>
    <n v="230"/>
    <n v="3450"/>
    <n v="0.05"/>
    <x v="0"/>
  </r>
  <r>
    <s v="EMP-ID-294"/>
    <x v="4"/>
    <x v="26"/>
    <x v="1"/>
    <n v="7"/>
    <n v="40"/>
    <n v="280"/>
    <n v="0.04"/>
    <x v="1"/>
  </r>
  <r>
    <s v="EMP-ID-295"/>
    <x v="2"/>
    <x v="26"/>
    <x v="4"/>
    <n v="20"/>
    <n v="150"/>
    <n v="3000"/>
    <n v="0.12"/>
    <x v="2"/>
  </r>
  <r>
    <s v="EMP-ID-296"/>
    <x v="2"/>
    <x v="26"/>
    <x v="0"/>
    <n v="5"/>
    <n v="80"/>
    <n v="400"/>
    <n v="0.09"/>
    <x v="12"/>
  </r>
  <r>
    <s v="EMP-ID-297"/>
    <x v="3"/>
    <x v="26"/>
    <x v="0"/>
    <n v="14"/>
    <n v="80"/>
    <n v="1120"/>
    <n v="0.05"/>
    <x v="4"/>
  </r>
  <r>
    <s v="EMP-ID-298"/>
    <x v="3"/>
    <x v="26"/>
    <x v="2"/>
    <n v="7"/>
    <n v="230"/>
    <n v="1610"/>
    <n v="0.06"/>
    <x v="5"/>
  </r>
  <r>
    <s v="EMP-ID-299"/>
    <x v="3"/>
    <x v="26"/>
    <x v="1"/>
    <n v="13"/>
    <n v="40"/>
    <n v="520"/>
    <n v="0.06"/>
    <x v="6"/>
  </r>
  <r>
    <s v="EMP-ID-300"/>
    <x v="1"/>
    <x v="27"/>
    <x v="3"/>
    <n v="15"/>
    <n v="16"/>
    <n v="240"/>
    <n v="0.02"/>
    <x v="7"/>
  </r>
  <r>
    <s v="EMP-ID-301"/>
    <x v="3"/>
    <x v="27"/>
    <x v="3"/>
    <n v="5"/>
    <n v="16"/>
    <n v="80"/>
    <n v="0.09"/>
    <x v="8"/>
  </r>
  <r>
    <s v="EMP-ID-302"/>
    <x v="0"/>
    <x v="27"/>
    <x v="3"/>
    <n v="22"/>
    <n v="16"/>
    <n v="352"/>
    <n v="0.06"/>
    <x v="9"/>
  </r>
  <r>
    <s v="EMP-ID-303"/>
    <x v="2"/>
    <x v="27"/>
    <x v="4"/>
    <n v="15"/>
    <n v="150"/>
    <n v="2250"/>
    <n v="0.05"/>
    <x v="10"/>
  </r>
  <r>
    <s v="EMP-ID-304"/>
    <x v="2"/>
    <x v="27"/>
    <x v="2"/>
    <n v="5"/>
    <n v="230"/>
    <n v="1150"/>
    <n v="0.01"/>
    <x v="11"/>
  </r>
  <r>
    <s v="EMP-ID-305"/>
    <x v="0"/>
    <x v="27"/>
    <x v="1"/>
    <n v="11"/>
    <n v="40"/>
    <n v="440"/>
    <n v="0.04"/>
    <x v="0"/>
  </r>
  <r>
    <s v="EMP-ID-306"/>
    <x v="1"/>
    <x v="27"/>
    <x v="4"/>
    <n v="13"/>
    <n v="150"/>
    <n v="1950"/>
    <n v="0.08"/>
    <x v="1"/>
  </r>
  <r>
    <s v="EMP-ID-307"/>
    <x v="4"/>
    <x v="27"/>
    <x v="3"/>
    <n v="13"/>
    <n v="16"/>
    <n v="208"/>
    <n v="7.0000000000000007E-2"/>
    <x v="2"/>
  </r>
  <r>
    <s v="EMP-ID-308"/>
    <x v="4"/>
    <x v="27"/>
    <x v="3"/>
    <n v="3"/>
    <n v="16"/>
    <n v="48"/>
    <n v="0.03"/>
    <x v="12"/>
  </r>
  <r>
    <s v="EMP-ID-309"/>
    <x v="1"/>
    <x v="28"/>
    <x v="4"/>
    <n v="2"/>
    <n v="150"/>
    <n v="300"/>
    <n v="0.09"/>
    <x v="4"/>
  </r>
  <r>
    <s v="EMP-ID-310"/>
    <x v="2"/>
    <x v="28"/>
    <x v="2"/>
    <n v="14"/>
    <n v="230"/>
    <n v="3220"/>
    <n v="0.03"/>
    <x v="5"/>
  </r>
  <r>
    <s v="EMP-ID-311"/>
    <x v="2"/>
    <x v="28"/>
    <x v="1"/>
    <n v="11"/>
    <n v="40"/>
    <n v="440"/>
    <n v="0.12"/>
    <x v="6"/>
  </r>
  <r>
    <s v="EMP-ID-312"/>
    <x v="4"/>
    <x v="28"/>
    <x v="3"/>
    <n v="3"/>
    <n v="16"/>
    <n v="48"/>
    <n v="0.06"/>
    <x v="7"/>
  </r>
  <r>
    <s v="EMP-ID-313"/>
    <x v="4"/>
    <x v="28"/>
    <x v="1"/>
    <n v="18"/>
    <n v="40"/>
    <n v="720"/>
    <n v="0.06"/>
    <x v="8"/>
  </r>
  <r>
    <s v="EMP-ID-314"/>
    <x v="4"/>
    <x v="28"/>
    <x v="2"/>
    <n v="7"/>
    <n v="230"/>
    <n v="1610"/>
    <n v="0.05"/>
    <x v="9"/>
  </r>
  <r>
    <s v="EMP-ID-315"/>
    <x v="4"/>
    <x v="28"/>
    <x v="1"/>
    <n v="23"/>
    <n v="40"/>
    <n v="920"/>
    <n v="0.05"/>
    <x v="10"/>
  </r>
  <r>
    <s v="EMP-ID-316"/>
    <x v="4"/>
    <x v="29"/>
    <x v="2"/>
    <n v="2"/>
    <n v="230"/>
    <n v="460"/>
    <n v="0.08"/>
    <x v="11"/>
  </r>
  <r>
    <s v="EMP-ID-317"/>
    <x v="3"/>
    <x v="29"/>
    <x v="1"/>
    <n v="18"/>
    <n v="40"/>
    <n v="720"/>
    <n v="0.04"/>
    <x v="0"/>
  </r>
  <r>
    <s v="EMP-ID-318"/>
    <x v="1"/>
    <x v="29"/>
    <x v="2"/>
    <n v="7"/>
    <n v="230"/>
    <n v="1610"/>
    <n v="0.05"/>
    <x v="1"/>
  </r>
  <r>
    <s v="EMP-ID-319"/>
    <x v="4"/>
    <x v="29"/>
    <x v="1"/>
    <n v="14"/>
    <n v="40"/>
    <n v="560"/>
    <n v="0.11"/>
    <x v="2"/>
  </r>
  <r>
    <s v="EMP-ID-320"/>
    <x v="1"/>
    <x v="29"/>
    <x v="4"/>
    <n v="13"/>
    <n v="150"/>
    <n v="1950"/>
    <n v="0.02"/>
    <x v="12"/>
  </r>
  <r>
    <s v="EMP-ID-321"/>
    <x v="0"/>
    <x v="29"/>
    <x v="0"/>
    <n v="12"/>
    <n v="80"/>
    <n v="960"/>
    <n v="0.04"/>
    <x v="4"/>
  </r>
  <r>
    <s v="EMP-ID-322"/>
    <x v="4"/>
    <x v="29"/>
    <x v="2"/>
    <n v="20"/>
    <n v="230"/>
    <n v="4600"/>
    <n v="0.09"/>
    <x v="5"/>
  </r>
  <r>
    <s v="EMP-ID-323"/>
    <x v="4"/>
    <x v="29"/>
    <x v="1"/>
    <n v="5"/>
    <n v="40"/>
    <n v="200"/>
    <n v="0.03"/>
    <x v="6"/>
  </r>
  <r>
    <s v="EMP-ID-324"/>
    <x v="4"/>
    <x v="29"/>
    <x v="3"/>
    <n v="2"/>
    <n v="16"/>
    <n v="32"/>
    <n v="0.04"/>
    <x v="7"/>
  </r>
  <r>
    <s v="EMP-ID-325"/>
    <x v="2"/>
    <x v="0"/>
    <x v="0"/>
    <n v="10"/>
    <n v="80"/>
    <n v="800"/>
    <n v="0.08"/>
    <x v="8"/>
  </r>
  <r>
    <s v="EMP-ID-326"/>
    <x v="3"/>
    <x v="0"/>
    <x v="1"/>
    <n v="18"/>
    <n v="40"/>
    <n v="720"/>
    <n v="0.06"/>
    <x v="9"/>
  </r>
  <r>
    <s v="EMP-ID-327"/>
    <x v="1"/>
    <x v="0"/>
    <x v="2"/>
    <n v="7"/>
    <n v="230"/>
    <n v="1610"/>
    <n v="0.08"/>
    <x v="10"/>
  </r>
  <r>
    <s v="EMP-ID-328"/>
    <x v="3"/>
    <x v="0"/>
    <x v="1"/>
    <n v="15"/>
    <n v="40"/>
    <n v="600"/>
    <n v="0.03"/>
    <x v="11"/>
  </r>
  <r>
    <s v="EMP-ID-329"/>
    <x v="2"/>
    <x v="0"/>
    <x v="3"/>
    <n v="6"/>
    <n v="16"/>
    <n v="96"/>
    <n v="0.01"/>
    <x v="0"/>
  </r>
  <r>
    <s v="EMP-ID-330"/>
    <x v="3"/>
    <x v="0"/>
    <x v="4"/>
    <n v="9"/>
    <n v="150"/>
    <n v="1350"/>
    <n v="0.02"/>
    <x v="1"/>
  </r>
  <r>
    <s v="EMP-ID-331"/>
    <x v="4"/>
    <x v="0"/>
    <x v="3"/>
    <n v="15"/>
    <n v="16"/>
    <n v="240"/>
    <n v="0.01"/>
    <x v="2"/>
  </r>
  <r>
    <s v="EMP-ID-332"/>
    <x v="4"/>
    <x v="0"/>
    <x v="0"/>
    <n v="22"/>
    <n v="80"/>
    <n v="1760"/>
    <n v="0.11"/>
    <x v="12"/>
  </r>
  <r>
    <s v="EMP-ID-333"/>
    <x v="1"/>
    <x v="0"/>
    <x v="4"/>
    <n v="13"/>
    <n v="150"/>
    <n v="1950"/>
    <n v="0.02"/>
    <x v="4"/>
  </r>
  <r>
    <s v="EMP-ID-334"/>
    <x v="2"/>
    <x v="1"/>
    <x v="3"/>
    <n v="12"/>
    <n v="16"/>
    <n v="192"/>
    <n v="0.03"/>
    <x v="5"/>
  </r>
  <r>
    <s v="EMP-ID-335"/>
    <x v="3"/>
    <x v="1"/>
    <x v="1"/>
    <n v="4"/>
    <n v="40"/>
    <n v="160"/>
    <n v="0.05"/>
    <x v="6"/>
  </r>
  <r>
    <s v="EMP-ID-336"/>
    <x v="1"/>
    <x v="1"/>
    <x v="2"/>
    <n v="19"/>
    <n v="230"/>
    <n v="4370"/>
    <n v="0.11"/>
    <x v="7"/>
  </r>
  <r>
    <s v="EMP-ID-337"/>
    <x v="1"/>
    <x v="1"/>
    <x v="1"/>
    <n v="4"/>
    <n v="40"/>
    <n v="160"/>
    <n v="0.06"/>
    <x v="8"/>
  </r>
  <r>
    <s v="EMP-ID-338"/>
    <x v="2"/>
    <x v="1"/>
    <x v="3"/>
    <n v="6"/>
    <n v="16"/>
    <n v="96"/>
    <n v="7.0000000000000007E-2"/>
    <x v="9"/>
  </r>
  <r>
    <s v="EMP-ID-339"/>
    <x v="2"/>
    <x v="1"/>
    <x v="2"/>
    <n v="15"/>
    <n v="230"/>
    <n v="3450"/>
    <n v="0.11"/>
    <x v="10"/>
  </r>
  <r>
    <s v="EMP-ID-340"/>
    <x v="2"/>
    <x v="1"/>
    <x v="0"/>
    <n v="16"/>
    <n v="80"/>
    <n v="1280"/>
    <n v="0.04"/>
    <x v="11"/>
  </r>
  <r>
    <s v="EMP-ID-341"/>
    <x v="0"/>
    <x v="1"/>
    <x v="1"/>
    <n v="7"/>
    <n v="40"/>
    <n v="280"/>
    <n v="0.1"/>
    <x v="0"/>
  </r>
  <r>
    <s v="EMP-ID-342"/>
    <x v="2"/>
    <x v="1"/>
    <x v="1"/>
    <n v="11"/>
    <n v="40"/>
    <n v="440"/>
    <n v="0.05"/>
    <x v="1"/>
  </r>
  <r>
    <s v="EMP-ID-343"/>
    <x v="4"/>
    <x v="1"/>
    <x v="0"/>
    <n v="9"/>
    <n v="80"/>
    <n v="720"/>
    <n v="0.06"/>
    <x v="2"/>
  </r>
  <r>
    <s v="EMP-ID-344"/>
    <x v="1"/>
    <x v="1"/>
    <x v="0"/>
    <n v="21"/>
    <n v="80"/>
    <n v="1680"/>
    <n v="0.04"/>
    <x v="12"/>
  </r>
  <r>
    <s v="EMP-ID-345"/>
    <x v="2"/>
    <x v="1"/>
    <x v="1"/>
    <n v="2"/>
    <n v="40"/>
    <n v="80"/>
    <n v="0.03"/>
    <x v="4"/>
  </r>
  <r>
    <s v="EMP-ID-346"/>
    <x v="2"/>
    <x v="2"/>
    <x v="3"/>
    <n v="17"/>
    <n v="16"/>
    <n v="272"/>
    <n v="0.05"/>
    <x v="5"/>
  </r>
  <r>
    <s v="EMP-ID-347"/>
    <x v="0"/>
    <x v="2"/>
    <x v="1"/>
    <n v="18"/>
    <n v="40"/>
    <n v="720"/>
    <n v="0.06"/>
    <x v="6"/>
  </r>
  <r>
    <s v="EMP-ID-348"/>
    <x v="0"/>
    <x v="2"/>
    <x v="1"/>
    <n v="9"/>
    <n v="40"/>
    <n v="360"/>
    <n v="0.01"/>
    <x v="7"/>
  </r>
  <r>
    <s v="EMP-ID-349"/>
    <x v="1"/>
    <x v="2"/>
    <x v="1"/>
    <n v="7"/>
    <n v="40"/>
    <n v="280"/>
    <n v="0.01"/>
    <x v="8"/>
  </r>
  <r>
    <s v="EMP-ID-350"/>
    <x v="2"/>
    <x v="2"/>
    <x v="2"/>
    <n v="12"/>
    <n v="230"/>
    <n v="2760"/>
    <n v="0.06"/>
    <x v="9"/>
  </r>
  <r>
    <s v="EMP-ID-351"/>
    <x v="1"/>
    <x v="2"/>
    <x v="3"/>
    <n v="22"/>
    <n v="16"/>
    <n v="352"/>
    <n v="0.04"/>
    <x v="0"/>
  </r>
  <r>
    <s v="EMP-ID-352"/>
    <x v="0"/>
    <x v="3"/>
    <x v="4"/>
    <n v="5"/>
    <n v="150"/>
    <n v="750"/>
    <n v="0.11"/>
    <x v="1"/>
  </r>
  <r>
    <s v="EMP-ID-353"/>
    <x v="1"/>
    <x v="3"/>
    <x v="0"/>
    <n v="14"/>
    <n v="80"/>
    <n v="1120"/>
    <n v="0.11"/>
    <x v="2"/>
  </r>
  <r>
    <s v="EMP-ID-354"/>
    <x v="2"/>
    <x v="3"/>
    <x v="3"/>
    <n v="8"/>
    <n v="16"/>
    <n v="128"/>
    <n v="0.03"/>
    <x v="12"/>
  </r>
  <r>
    <s v="EMP-ID-355"/>
    <x v="2"/>
    <x v="3"/>
    <x v="2"/>
    <n v="6"/>
    <n v="230"/>
    <n v="1380"/>
    <n v="0.05"/>
    <x v="4"/>
  </r>
  <r>
    <s v="EMP-ID-356"/>
    <x v="3"/>
    <x v="3"/>
    <x v="3"/>
    <n v="7"/>
    <n v="16"/>
    <n v="112"/>
    <n v="0.08"/>
    <x v="5"/>
  </r>
  <r>
    <s v="EMP-ID-357"/>
    <x v="1"/>
    <x v="3"/>
    <x v="0"/>
    <n v="16"/>
    <n v="80"/>
    <n v="1280"/>
    <n v="0.04"/>
    <x v="6"/>
  </r>
  <r>
    <s v="EMP-ID-358"/>
    <x v="0"/>
    <x v="3"/>
    <x v="4"/>
    <n v="17"/>
    <n v="150"/>
    <n v="2550"/>
    <n v="0.12"/>
    <x v="7"/>
  </r>
  <r>
    <s v="EMP-ID-359"/>
    <x v="1"/>
    <x v="3"/>
    <x v="3"/>
    <n v="7"/>
    <n v="16"/>
    <n v="112"/>
    <n v="0.08"/>
    <x v="8"/>
  </r>
  <r>
    <s v="EMP-ID-360"/>
    <x v="0"/>
    <x v="4"/>
    <x v="3"/>
    <n v="21"/>
    <n v="16"/>
    <n v="336"/>
    <n v="0.09"/>
    <x v="9"/>
  </r>
  <r>
    <s v="EMP-ID-361"/>
    <x v="2"/>
    <x v="4"/>
    <x v="3"/>
    <n v="23"/>
    <n v="16"/>
    <n v="368"/>
    <n v="0.11"/>
    <x v="10"/>
  </r>
  <r>
    <s v="EMP-ID-362"/>
    <x v="2"/>
    <x v="4"/>
    <x v="4"/>
    <n v="2"/>
    <n v="150"/>
    <n v="300"/>
    <n v="0.02"/>
    <x v="11"/>
  </r>
  <r>
    <s v="EMP-ID-363"/>
    <x v="0"/>
    <x v="4"/>
    <x v="4"/>
    <n v="22"/>
    <n v="150"/>
    <n v="3300"/>
    <n v="7.0000000000000007E-2"/>
    <x v="0"/>
  </r>
  <r>
    <s v="EMP-ID-364"/>
    <x v="3"/>
    <x v="4"/>
    <x v="1"/>
    <n v="22"/>
    <n v="40"/>
    <n v="880"/>
    <n v="0.01"/>
    <x v="1"/>
  </r>
  <r>
    <s v="EMP-ID-365"/>
    <x v="1"/>
    <x v="4"/>
    <x v="0"/>
    <n v="10"/>
    <n v="80"/>
    <n v="800"/>
    <n v="0.11"/>
    <x v="2"/>
  </r>
  <r>
    <s v="EMP-ID-366"/>
    <x v="4"/>
    <x v="4"/>
    <x v="0"/>
    <n v="13"/>
    <n v="80"/>
    <n v="1040"/>
    <n v="0.05"/>
    <x v="12"/>
  </r>
  <r>
    <s v="EMP-ID-367"/>
    <x v="3"/>
    <x v="4"/>
    <x v="2"/>
    <n v="11"/>
    <n v="230"/>
    <n v="2530"/>
    <n v="0.12"/>
    <x v="4"/>
  </r>
  <r>
    <s v="EMP-ID-368"/>
    <x v="0"/>
    <x v="4"/>
    <x v="2"/>
    <n v="9"/>
    <n v="230"/>
    <n v="2070"/>
    <n v="7.0000000000000007E-2"/>
    <x v="5"/>
  </r>
  <r>
    <s v="EMP-ID-369"/>
    <x v="3"/>
    <x v="4"/>
    <x v="2"/>
    <n v="16"/>
    <n v="230"/>
    <n v="3680"/>
    <n v="0.11"/>
    <x v="6"/>
  </r>
  <r>
    <s v="EMP-ID-370"/>
    <x v="3"/>
    <x v="4"/>
    <x v="2"/>
    <n v="18"/>
    <n v="230"/>
    <n v="4140"/>
    <n v="0.01"/>
    <x v="7"/>
  </r>
  <r>
    <s v="EMP-ID-371"/>
    <x v="1"/>
    <x v="4"/>
    <x v="3"/>
    <n v="15"/>
    <n v="16"/>
    <n v="240"/>
    <n v="0.02"/>
    <x v="8"/>
  </r>
  <r>
    <s v="EMP-ID-372"/>
    <x v="4"/>
    <x v="4"/>
    <x v="1"/>
    <n v="18"/>
    <n v="40"/>
    <n v="720"/>
    <n v="0.06"/>
    <x v="9"/>
  </r>
  <r>
    <s v="EMP-ID-373"/>
    <x v="3"/>
    <x v="4"/>
    <x v="1"/>
    <n v="18"/>
    <n v="40"/>
    <n v="720"/>
    <n v="0.04"/>
    <x v="10"/>
  </r>
  <r>
    <s v="EMP-ID-374"/>
    <x v="3"/>
    <x v="4"/>
    <x v="3"/>
    <n v="22"/>
    <n v="16"/>
    <n v="352"/>
    <n v="0.03"/>
    <x v="11"/>
  </r>
  <r>
    <s v="EMP-ID-375"/>
    <x v="2"/>
    <x v="4"/>
    <x v="3"/>
    <n v="12"/>
    <n v="16"/>
    <n v="192"/>
    <n v="0.11"/>
    <x v="0"/>
  </r>
  <r>
    <s v="EMP-ID-376"/>
    <x v="0"/>
    <x v="5"/>
    <x v="0"/>
    <n v="20"/>
    <n v="80"/>
    <n v="1600"/>
    <n v="0.01"/>
    <x v="1"/>
  </r>
  <r>
    <s v="EMP-ID-377"/>
    <x v="2"/>
    <x v="5"/>
    <x v="2"/>
    <n v="10"/>
    <n v="230"/>
    <n v="2300"/>
    <n v="0.02"/>
    <x v="2"/>
  </r>
  <r>
    <s v="EMP-ID-378"/>
    <x v="1"/>
    <x v="5"/>
    <x v="2"/>
    <n v="9"/>
    <n v="230"/>
    <n v="2070"/>
    <n v="0.03"/>
    <x v="12"/>
  </r>
  <r>
    <s v="EMP-ID-379"/>
    <x v="1"/>
    <x v="5"/>
    <x v="0"/>
    <n v="17"/>
    <n v="80"/>
    <n v="1360"/>
    <n v="0.03"/>
    <x v="4"/>
  </r>
  <r>
    <s v="EMP-ID-380"/>
    <x v="4"/>
    <x v="5"/>
    <x v="1"/>
    <n v="4"/>
    <n v="40"/>
    <n v="160"/>
    <n v="0.09"/>
    <x v="5"/>
  </r>
  <r>
    <s v="EMP-ID-381"/>
    <x v="1"/>
    <x v="5"/>
    <x v="4"/>
    <n v="16"/>
    <n v="150"/>
    <n v="2400"/>
    <n v="0.03"/>
    <x v="6"/>
  </r>
  <r>
    <s v="EMP-ID-382"/>
    <x v="2"/>
    <x v="5"/>
    <x v="0"/>
    <n v="8"/>
    <n v="80"/>
    <n v="640"/>
    <n v="0.02"/>
    <x v="7"/>
  </r>
  <r>
    <s v="EMP-ID-383"/>
    <x v="3"/>
    <x v="5"/>
    <x v="1"/>
    <n v="23"/>
    <n v="40"/>
    <n v="920"/>
    <n v="0.06"/>
    <x v="8"/>
  </r>
  <r>
    <s v="EMP-ID-384"/>
    <x v="3"/>
    <x v="6"/>
    <x v="4"/>
    <n v="20"/>
    <n v="150"/>
    <n v="3000"/>
    <n v="0.1"/>
    <x v="9"/>
  </r>
  <r>
    <s v="EMP-ID-385"/>
    <x v="4"/>
    <x v="6"/>
    <x v="2"/>
    <n v="22"/>
    <n v="230"/>
    <n v="5060"/>
    <n v="0.1"/>
    <x v="10"/>
  </r>
  <r>
    <s v="EMP-ID-386"/>
    <x v="1"/>
    <x v="6"/>
    <x v="2"/>
    <n v="6"/>
    <n v="230"/>
    <n v="1380"/>
    <n v="0.1"/>
    <x v="11"/>
  </r>
  <r>
    <s v="EMP-ID-387"/>
    <x v="3"/>
    <x v="6"/>
    <x v="0"/>
    <n v="10"/>
    <n v="80"/>
    <n v="800"/>
    <n v="0.1"/>
    <x v="0"/>
  </r>
  <r>
    <s v="EMP-ID-388"/>
    <x v="4"/>
    <x v="6"/>
    <x v="2"/>
    <n v="21"/>
    <n v="230"/>
    <n v="4830"/>
    <n v="0.05"/>
    <x v="1"/>
  </r>
  <r>
    <s v="EMP-ID-389"/>
    <x v="0"/>
    <x v="6"/>
    <x v="2"/>
    <n v="20"/>
    <n v="230"/>
    <n v="4600"/>
    <n v="0.04"/>
    <x v="2"/>
  </r>
  <r>
    <s v="EMP-ID-390"/>
    <x v="2"/>
    <x v="6"/>
    <x v="0"/>
    <n v="20"/>
    <n v="80"/>
    <n v="1600"/>
    <n v="7.0000000000000007E-2"/>
    <x v="12"/>
  </r>
  <r>
    <s v="EMP-ID-391"/>
    <x v="2"/>
    <x v="6"/>
    <x v="0"/>
    <n v="7"/>
    <n v="80"/>
    <n v="560"/>
    <n v="0.05"/>
    <x v="4"/>
  </r>
  <r>
    <s v="EMP-ID-392"/>
    <x v="0"/>
    <x v="6"/>
    <x v="0"/>
    <n v="8"/>
    <n v="80"/>
    <n v="640"/>
    <n v="0.09"/>
    <x v="5"/>
  </r>
  <r>
    <s v="EMP-ID-393"/>
    <x v="1"/>
    <x v="6"/>
    <x v="0"/>
    <n v="3"/>
    <n v="80"/>
    <n v="240"/>
    <n v="0.02"/>
    <x v="6"/>
  </r>
  <r>
    <s v="EMP-ID-394"/>
    <x v="3"/>
    <x v="6"/>
    <x v="0"/>
    <n v="8"/>
    <n v="80"/>
    <n v="640"/>
    <n v="0.06"/>
    <x v="7"/>
  </r>
  <r>
    <s v="EMP-ID-395"/>
    <x v="4"/>
    <x v="6"/>
    <x v="4"/>
    <n v="13"/>
    <n v="150"/>
    <n v="1950"/>
    <n v="0.11"/>
    <x v="8"/>
  </r>
  <r>
    <s v="EMP-ID-396"/>
    <x v="3"/>
    <x v="6"/>
    <x v="0"/>
    <n v="15"/>
    <n v="80"/>
    <n v="1200"/>
    <n v="0.08"/>
    <x v="9"/>
  </r>
  <r>
    <s v="EMP-ID-397"/>
    <x v="4"/>
    <x v="6"/>
    <x v="4"/>
    <n v="7"/>
    <n v="150"/>
    <n v="1050"/>
    <n v="0.02"/>
    <x v="10"/>
  </r>
  <r>
    <s v="EMP-ID-398"/>
    <x v="2"/>
    <x v="6"/>
    <x v="1"/>
    <n v="6"/>
    <n v="40"/>
    <n v="240"/>
    <n v="0.06"/>
    <x v="11"/>
  </r>
  <r>
    <s v="EMP-ID-399"/>
    <x v="3"/>
    <x v="6"/>
    <x v="0"/>
    <n v="23"/>
    <n v="80"/>
    <n v="1840"/>
    <n v="0.11"/>
    <x v="0"/>
  </r>
  <r>
    <s v="EMP-ID-400"/>
    <x v="2"/>
    <x v="6"/>
    <x v="2"/>
    <n v="18"/>
    <n v="230"/>
    <n v="4140"/>
    <n v="0.01"/>
    <x v="1"/>
  </r>
  <r>
    <s v="EMP-ID-401"/>
    <x v="4"/>
    <x v="7"/>
    <x v="0"/>
    <n v="21"/>
    <n v="80"/>
    <n v="1680"/>
    <n v="0.09"/>
    <x v="2"/>
  </r>
  <r>
    <s v="EMP-ID-402"/>
    <x v="2"/>
    <x v="7"/>
    <x v="1"/>
    <n v="13"/>
    <n v="40"/>
    <n v="520"/>
    <n v="0.02"/>
    <x v="12"/>
  </r>
  <r>
    <s v="EMP-ID-403"/>
    <x v="2"/>
    <x v="7"/>
    <x v="0"/>
    <n v="23"/>
    <n v="80"/>
    <n v="1840"/>
    <n v="0.05"/>
    <x v="4"/>
  </r>
  <r>
    <s v="EMP-ID-404"/>
    <x v="3"/>
    <x v="7"/>
    <x v="4"/>
    <n v="15"/>
    <n v="150"/>
    <n v="2250"/>
    <n v="0.05"/>
    <x v="5"/>
  </r>
  <r>
    <s v="EMP-ID-405"/>
    <x v="0"/>
    <x v="7"/>
    <x v="1"/>
    <n v="5"/>
    <n v="40"/>
    <n v="200"/>
    <n v="0.09"/>
    <x v="6"/>
  </r>
  <r>
    <s v="EMP-ID-406"/>
    <x v="3"/>
    <x v="7"/>
    <x v="3"/>
    <n v="10"/>
    <n v="16"/>
    <n v="160"/>
    <n v="0.01"/>
    <x v="7"/>
  </r>
  <r>
    <s v="EMP-ID-407"/>
    <x v="2"/>
    <x v="7"/>
    <x v="2"/>
    <n v="2"/>
    <n v="230"/>
    <n v="460"/>
    <n v="0.09"/>
    <x v="8"/>
  </r>
  <r>
    <s v="EMP-ID-408"/>
    <x v="3"/>
    <x v="7"/>
    <x v="0"/>
    <n v="7"/>
    <n v="80"/>
    <n v="560"/>
    <n v="0.02"/>
    <x v="9"/>
  </r>
  <r>
    <s v="EMP-ID-409"/>
    <x v="3"/>
    <x v="7"/>
    <x v="4"/>
    <n v="22"/>
    <n v="150"/>
    <n v="3300"/>
    <n v="0.05"/>
    <x v="10"/>
  </r>
  <r>
    <s v="EMP-ID-410"/>
    <x v="4"/>
    <x v="7"/>
    <x v="1"/>
    <n v="17"/>
    <n v="40"/>
    <n v="680"/>
    <n v="0.02"/>
    <x v="11"/>
  </r>
  <r>
    <s v="EMP-ID-411"/>
    <x v="0"/>
    <x v="7"/>
    <x v="3"/>
    <n v="22"/>
    <n v="16"/>
    <n v="352"/>
    <n v="0.06"/>
    <x v="0"/>
  </r>
  <r>
    <s v="EMP-ID-412"/>
    <x v="4"/>
    <x v="7"/>
    <x v="3"/>
    <n v="3"/>
    <n v="16"/>
    <n v="48"/>
    <n v="0.03"/>
    <x v="1"/>
  </r>
  <r>
    <s v="EMP-ID-413"/>
    <x v="4"/>
    <x v="7"/>
    <x v="2"/>
    <n v="2"/>
    <n v="230"/>
    <n v="460"/>
    <n v="0.08"/>
    <x v="2"/>
  </r>
  <r>
    <s v="EMP-ID-414"/>
    <x v="0"/>
    <x v="7"/>
    <x v="3"/>
    <n v="21"/>
    <n v="16"/>
    <n v="336"/>
    <n v="0.09"/>
    <x v="12"/>
  </r>
  <r>
    <s v="EMP-ID-415"/>
    <x v="3"/>
    <x v="7"/>
    <x v="0"/>
    <n v="7"/>
    <n v="80"/>
    <n v="560"/>
    <n v="7.0000000000000007E-2"/>
    <x v="4"/>
  </r>
  <r>
    <s v="EMP-ID-416"/>
    <x v="1"/>
    <x v="7"/>
    <x v="4"/>
    <n v="23"/>
    <n v="150"/>
    <n v="3450"/>
    <n v="0.11"/>
    <x v="5"/>
  </r>
  <r>
    <s v="EMP-ID-417"/>
    <x v="0"/>
    <x v="8"/>
    <x v="4"/>
    <n v="11"/>
    <n v="150"/>
    <n v="1650"/>
    <n v="0.05"/>
    <x v="6"/>
  </r>
  <r>
    <s v="EMP-ID-418"/>
    <x v="4"/>
    <x v="8"/>
    <x v="0"/>
    <n v="16"/>
    <n v="80"/>
    <n v="1280"/>
    <n v="0.05"/>
    <x v="7"/>
  </r>
  <r>
    <s v="EMP-ID-419"/>
    <x v="2"/>
    <x v="8"/>
    <x v="2"/>
    <n v="5"/>
    <n v="230"/>
    <n v="1150"/>
    <n v="0.1"/>
    <x v="8"/>
  </r>
  <r>
    <s v="EMP-ID-420"/>
    <x v="0"/>
    <x v="8"/>
    <x v="3"/>
    <n v="22"/>
    <n v="16"/>
    <n v="352"/>
    <n v="0.01"/>
    <x v="9"/>
  </r>
  <r>
    <s v="EMP-ID-421"/>
    <x v="4"/>
    <x v="8"/>
    <x v="1"/>
    <n v="7"/>
    <n v="40"/>
    <n v="280"/>
    <n v="0.12"/>
    <x v="0"/>
  </r>
  <r>
    <s v="EMP-ID-422"/>
    <x v="1"/>
    <x v="8"/>
    <x v="0"/>
    <n v="2"/>
    <n v="80"/>
    <n v="160"/>
    <n v="0.04"/>
    <x v="1"/>
  </r>
  <r>
    <s v="EMP-ID-423"/>
    <x v="3"/>
    <x v="8"/>
    <x v="1"/>
    <n v="6"/>
    <n v="40"/>
    <n v="240"/>
    <n v="7.0000000000000007E-2"/>
    <x v="2"/>
  </r>
  <r>
    <s v="EMP-ID-424"/>
    <x v="2"/>
    <x v="8"/>
    <x v="0"/>
    <n v="6"/>
    <n v="80"/>
    <n v="480"/>
    <n v="0.01"/>
    <x v="12"/>
  </r>
  <r>
    <s v="EMP-ID-425"/>
    <x v="1"/>
    <x v="8"/>
    <x v="3"/>
    <n v="22"/>
    <n v="16"/>
    <n v="352"/>
    <n v="0.01"/>
    <x v="4"/>
  </r>
  <r>
    <s v="EMP-ID-426"/>
    <x v="3"/>
    <x v="8"/>
    <x v="2"/>
    <n v="7"/>
    <n v="230"/>
    <n v="1610"/>
    <n v="0.06"/>
    <x v="5"/>
  </r>
  <r>
    <s v="EMP-ID-427"/>
    <x v="3"/>
    <x v="9"/>
    <x v="3"/>
    <n v="22"/>
    <n v="16"/>
    <n v="352"/>
    <n v="0.03"/>
    <x v="6"/>
  </r>
  <r>
    <s v="EMP-ID-428"/>
    <x v="4"/>
    <x v="9"/>
    <x v="1"/>
    <n v="20"/>
    <n v="40"/>
    <n v="800"/>
    <n v="0.05"/>
    <x v="7"/>
  </r>
  <r>
    <s v="EMP-ID-429"/>
    <x v="1"/>
    <x v="9"/>
    <x v="1"/>
    <n v="19"/>
    <n v="40"/>
    <n v="760"/>
    <n v="0.1"/>
    <x v="8"/>
  </r>
  <r>
    <s v="EMP-ID-430"/>
    <x v="0"/>
    <x v="9"/>
    <x v="3"/>
    <n v="18"/>
    <n v="16"/>
    <n v="288"/>
    <n v="0.05"/>
    <x v="9"/>
  </r>
  <r>
    <s v="EMP-ID-431"/>
    <x v="2"/>
    <x v="9"/>
    <x v="1"/>
    <n v="2"/>
    <n v="40"/>
    <n v="80"/>
    <n v="0.02"/>
    <x v="10"/>
  </r>
  <r>
    <s v="EMP-ID-432"/>
    <x v="3"/>
    <x v="9"/>
    <x v="1"/>
    <n v="7"/>
    <n v="40"/>
    <n v="280"/>
    <n v="7.0000000000000007E-2"/>
    <x v="11"/>
  </r>
  <r>
    <s v="EMP-ID-433"/>
    <x v="2"/>
    <x v="9"/>
    <x v="4"/>
    <n v="11"/>
    <n v="150"/>
    <n v="1650"/>
    <n v="0.05"/>
    <x v="0"/>
  </r>
  <r>
    <s v="EMP-ID-434"/>
    <x v="1"/>
    <x v="9"/>
    <x v="0"/>
    <n v="14"/>
    <n v="80"/>
    <n v="1120"/>
    <n v="0.11"/>
    <x v="1"/>
  </r>
  <r>
    <s v="EMP-ID-435"/>
    <x v="4"/>
    <x v="9"/>
    <x v="1"/>
    <n v="7"/>
    <n v="40"/>
    <n v="280"/>
    <n v="0.04"/>
    <x v="2"/>
  </r>
  <r>
    <s v="EMP-ID-436"/>
    <x v="3"/>
    <x v="9"/>
    <x v="0"/>
    <n v="14"/>
    <n v="80"/>
    <n v="1120"/>
    <n v="0.05"/>
    <x v="12"/>
  </r>
  <r>
    <s v="EMP-ID-437"/>
    <x v="2"/>
    <x v="10"/>
    <x v="3"/>
    <n v="12"/>
    <n v="16"/>
    <n v="192"/>
    <n v="0.11"/>
    <x v="4"/>
  </r>
  <r>
    <s v="EMP-ID-438"/>
    <x v="4"/>
    <x v="10"/>
    <x v="1"/>
    <n v="11"/>
    <n v="40"/>
    <n v="440"/>
    <n v="0.05"/>
    <x v="5"/>
  </r>
  <r>
    <s v="EMP-ID-439"/>
    <x v="2"/>
    <x v="10"/>
    <x v="3"/>
    <n v="14"/>
    <n v="16"/>
    <n v="224"/>
    <n v="0.01"/>
    <x v="6"/>
  </r>
  <r>
    <s v="EMP-ID-440"/>
    <x v="3"/>
    <x v="10"/>
    <x v="2"/>
    <n v="2"/>
    <n v="230"/>
    <n v="460"/>
    <n v="0.08"/>
    <x v="7"/>
  </r>
  <r>
    <s v="EMP-ID-441"/>
    <x v="0"/>
    <x v="10"/>
    <x v="3"/>
    <n v="20"/>
    <n v="16"/>
    <n v="320"/>
    <n v="0.11"/>
    <x v="8"/>
  </r>
  <r>
    <s v="EMP-ID-442"/>
    <x v="2"/>
    <x v="10"/>
    <x v="3"/>
    <n v="6"/>
    <n v="16"/>
    <n v="96"/>
    <n v="0.06"/>
    <x v="9"/>
  </r>
  <r>
    <s v="EMP-ID-443"/>
    <x v="3"/>
    <x v="10"/>
    <x v="0"/>
    <n v="17"/>
    <n v="80"/>
    <n v="1360"/>
    <n v="0.05"/>
    <x v="10"/>
  </r>
  <r>
    <s v="EMP-ID-444"/>
    <x v="0"/>
    <x v="10"/>
    <x v="1"/>
    <n v="2"/>
    <n v="40"/>
    <n v="80"/>
    <n v="0.12"/>
    <x v="11"/>
  </r>
  <r>
    <s v="EMP-ID-445"/>
    <x v="0"/>
    <x v="10"/>
    <x v="3"/>
    <n v="7"/>
    <n v="16"/>
    <n v="112"/>
    <n v="0.12"/>
    <x v="0"/>
  </r>
  <r>
    <s v="EMP-ID-446"/>
    <x v="0"/>
    <x v="10"/>
    <x v="4"/>
    <n v="7"/>
    <n v="150"/>
    <n v="1050"/>
    <n v="0.02"/>
    <x v="1"/>
  </r>
  <r>
    <s v="EMP-ID-447"/>
    <x v="0"/>
    <x v="10"/>
    <x v="0"/>
    <n v="20"/>
    <n v="80"/>
    <n v="1600"/>
    <n v="0.01"/>
    <x v="2"/>
  </r>
  <r>
    <s v="EMP-ID-448"/>
    <x v="3"/>
    <x v="10"/>
    <x v="0"/>
    <n v="11"/>
    <n v="80"/>
    <n v="880"/>
    <n v="0.01"/>
    <x v="12"/>
  </r>
  <r>
    <s v="EMP-ID-449"/>
    <x v="2"/>
    <x v="10"/>
    <x v="0"/>
    <n v="10"/>
    <n v="80"/>
    <n v="800"/>
    <n v="0.08"/>
    <x v="4"/>
  </r>
  <r>
    <s v="EMP-ID-450"/>
    <x v="1"/>
    <x v="11"/>
    <x v="0"/>
    <n v="5"/>
    <n v="80"/>
    <n v="400"/>
    <n v="0.04"/>
    <x v="5"/>
  </r>
  <r>
    <s v="EMP-ID-451"/>
    <x v="3"/>
    <x v="11"/>
    <x v="0"/>
    <n v="4"/>
    <n v="80"/>
    <n v="320"/>
    <n v="0.11"/>
    <x v="6"/>
  </r>
  <r>
    <s v="EMP-ID-452"/>
    <x v="2"/>
    <x v="11"/>
    <x v="3"/>
    <n v="3"/>
    <n v="16"/>
    <n v="48"/>
    <n v="0.05"/>
    <x v="7"/>
  </r>
  <r>
    <s v="EMP-ID-453"/>
    <x v="0"/>
    <x v="11"/>
    <x v="0"/>
    <n v="9"/>
    <n v="80"/>
    <n v="720"/>
    <n v="0.04"/>
    <x v="8"/>
  </r>
  <r>
    <s v="EMP-ID-454"/>
    <x v="4"/>
    <x v="11"/>
    <x v="0"/>
    <n v="16"/>
    <n v="80"/>
    <n v="1280"/>
    <n v="0.09"/>
    <x v="9"/>
  </r>
  <r>
    <s v="EMP-ID-455"/>
    <x v="1"/>
    <x v="12"/>
    <x v="3"/>
    <n v="7"/>
    <n v="16"/>
    <n v="112"/>
    <n v="0.08"/>
    <x v="10"/>
  </r>
  <r>
    <s v="EMP-ID-456"/>
    <x v="1"/>
    <x v="12"/>
    <x v="4"/>
    <n v="16"/>
    <n v="150"/>
    <n v="2400"/>
    <n v="0.05"/>
    <x v="11"/>
  </r>
  <r>
    <s v="EMP-ID-457"/>
    <x v="3"/>
    <x v="12"/>
    <x v="3"/>
    <n v="10"/>
    <n v="16"/>
    <n v="160"/>
    <n v="0.04"/>
    <x v="0"/>
  </r>
  <r>
    <s v="EMP-ID-458"/>
    <x v="1"/>
    <x v="12"/>
    <x v="1"/>
    <n v="4"/>
    <n v="40"/>
    <n v="160"/>
    <n v="0.03"/>
    <x v="1"/>
  </r>
  <r>
    <s v="EMP-ID-459"/>
    <x v="1"/>
    <x v="12"/>
    <x v="1"/>
    <n v="15"/>
    <n v="40"/>
    <n v="600"/>
    <n v="0.02"/>
    <x v="2"/>
  </r>
  <r>
    <s v="EMP-ID-460"/>
    <x v="2"/>
    <x v="12"/>
    <x v="0"/>
    <n v="6"/>
    <n v="80"/>
    <n v="480"/>
    <n v="0.09"/>
    <x v="12"/>
  </r>
  <r>
    <s v="EMP-ID-461"/>
    <x v="0"/>
    <x v="12"/>
    <x v="4"/>
    <n v="20"/>
    <n v="150"/>
    <n v="3000"/>
    <n v="0.01"/>
    <x v="4"/>
  </r>
  <r>
    <s v="EMP-ID-462"/>
    <x v="0"/>
    <x v="12"/>
    <x v="3"/>
    <n v="7"/>
    <n v="16"/>
    <n v="112"/>
    <n v="0.08"/>
    <x v="5"/>
  </r>
  <r>
    <s v="EMP-ID-463"/>
    <x v="1"/>
    <x v="12"/>
    <x v="0"/>
    <n v="2"/>
    <n v="80"/>
    <n v="160"/>
    <n v="7.0000000000000007E-2"/>
    <x v="6"/>
  </r>
  <r>
    <s v="EMP-ID-464"/>
    <x v="1"/>
    <x v="12"/>
    <x v="1"/>
    <n v="23"/>
    <n v="40"/>
    <n v="920"/>
    <n v="0.06"/>
    <x v="7"/>
  </r>
  <r>
    <s v="EMP-ID-465"/>
    <x v="0"/>
    <x v="12"/>
    <x v="3"/>
    <n v="12"/>
    <n v="16"/>
    <n v="192"/>
    <n v="0.11"/>
    <x v="8"/>
  </r>
  <r>
    <s v="EMP-ID-466"/>
    <x v="3"/>
    <x v="12"/>
    <x v="2"/>
    <n v="2"/>
    <n v="230"/>
    <n v="460"/>
    <n v="0.09"/>
    <x v="9"/>
  </r>
  <r>
    <s v="EMP-ID-467"/>
    <x v="0"/>
    <x v="12"/>
    <x v="4"/>
    <n v="4"/>
    <n v="150"/>
    <n v="600"/>
    <n v="0.06"/>
    <x v="10"/>
  </r>
  <r>
    <s v="EMP-ID-468"/>
    <x v="0"/>
    <x v="12"/>
    <x v="1"/>
    <n v="23"/>
    <n v="40"/>
    <n v="920"/>
    <n v="7.0000000000000007E-2"/>
    <x v="11"/>
  </r>
  <r>
    <s v="EMP-ID-469"/>
    <x v="4"/>
    <x v="12"/>
    <x v="3"/>
    <n v="2"/>
    <n v="16"/>
    <n v="32"/>
    <n v="0.04"/>
    <x v="0"/>
  </r>
  <r>
    <s v="EMP-ID-470"/>
    <x v="3"/>
    <x v="12"/>
    <x v="4"/>
    <n v="7"/>
    <n v="150"/>
    <n v="1050"/>
    <n v="0.05"/>
    <x v="1"/>
  </r>
  <r>
    <s v="EMP-ID-471"/>
    <x v="0"/>
    <x v="13"/>
    <x v="1"/>
    <n v="15"/>
    <n v="40"/>
    <n v="600"/>
    <n v="0.06"/>
    <x v="2"/>
  </r>
  <r>
    <s v="EMP-ID-472"/>
    <x v="3"/>
    <x v="13"/>
    <x v="0"/>
    <n v="16"/>
    <n v="80"/>
    <n v="1280"/>
    <n v="0.05"/>
    <x v="12"/>
  </r>
  <r>
    <s v="EMP-ID-473"/>
    <x v="4"/>
    <x v="13"/>
    <x v="1"/>
    <n v="16"/>
    <n v="40"/>
    <n v="640"/>
    <n v="0.11"/>
    <x v="4"/>
  </r>
  <r>
    <s v="EMP-ID-474"/>
    <x v="4"/>
    <x v="13"/>
    <x v="3"/>
    <n v="23"/>
    <n v="16"/>
    <n v="368"/>
    <n v="0.01"/>
    <x v="5"/>
  </r>
  <r>
    <s v="EMP-ID-475"/>
    <x v="1"/>
    <x v="13"/>
    <x v="2"/>
    <n v="12"/>
    <n v="230"/>
    <n v="2760"/>
    <n v="0.03"/>
    <x v="6"/>
  </r>
  <r>
    <s v="EMP-ID-476"/>
    <x v="0"/>
    <x v="13"/>
    <x v="3"/>
    <n v="4"/>
    <n v="16"/>
    <n v="64"/>
    <n v="0.12"/>
    <x v="7"/>
  </r>
  <r>
    <s v="EMP-ID-477"/>
    <x v="3"/>
    <x v="13"/>
    <x v="4"/>
    <n v="3"/>
    <n v="150"/>
    <n v="450"/>
    <n v="0.01"/>
    <x v="8"/>
  </r>
  <r>
    <s v="EMP-ID-478"/>
    <x v="1"/>
    <x v="13"/>
    <x v="4"/>
    <n v="10"/>
    <n v="150"/>
    <n v="1500"/>
    <n v="0.01"/>
    <x v="9"/>
  </r>
  <r>
    <s v="EMP-ID-479"/>
    <x v="1"/>
    <x v="13"/>
    <x v="0"/>
    <n v="13"/>
    <n v="80"/>
    <n v="1040"/>
    <n v="0.06"/>
    <x v="10"/>
  </r>
  <r>
    <s v="EMP-ID-480"/>
    <x v="2"/>
    <x v="13"/>
    <x v="2"/>
    <n v="15"/>
    <n v="230"/>
    <n v="3450"/>
    <n v="0.04"/>
    <x v="11"/>
  </r>
  <r>
    <s v="EMP-ID-481"/>
    <x v="0"/>
    <x v="13"/>
    <x v="4"/>
    <n v="23"/>
    <n v="150"/>
    <n v="3450"/>
    <n v="0.1"/>
    <x v="0"/>
  </r>
  <r>
    <s v="EMP-ID-482"/>
    <x v="1"/>
    <x v="13"/>
    <x v="4"/>
    <n v="15"/>
    <n v="150"/>
    <n v="2250"/>
    <n v="0.12"/>
    <x v="1"/>
  </r>
  <r>
    <s v="EMP-ID-483"/>
    <x v="2"/>
    <x v="13"/>
    <x v="4"/>
    <n v="20"/>
    <n v="150"/>
    <n v="3000"/>
    <n v="0.12"/>
    <x v="2"/>
  </r>
  <r>
    <s v="EMP-ID-484"/>
    <x v="3"/>
    <x v="13"/>
    <x v="1"/>
    <n v="13"/>
    <n v="40"/>
    <n v="520"/>
    <n v="0.09"/>
    <x v="12"/>
  </r>
  <r>
    <s v="EMP-ID-485"/>
    <x v="2"/>
    <x v="14"/>
    <x v="3"/>
    <n v="11"/>
    <n v="16"/>
    <n v="176"/>
    <n v="0.04"/>
    <x v="4"/>
  </r>
  <r>
    <s v="EMP-ID-486"/>
    <x v="2"/>
    <x v="14"/>
    <x v="4"/>
    <n v="20"/>
    <n v="150"/>
    <n v="3000"/>
    <n v="0.04"/>
    <x v="5"/>
  </r>
  <r>
    <s v="EMP-ID-487"/>
    <x v="0"/>
    <x v="14"/>
    <x v="1"/>
    <n v="18"/>
    <n v="40"/>
    <n v="720"/>
    <n v="0.11"/>
    <x v="6"/>
  </r>
  <r>
    <s v="EMP-ID-488"/>
    <x v="2"/>
    <x v="14"/>
    <x v="1"/>
    <n v="2"/>
    <n v="40"/>
    <n v="80"/>
    <n v="0.03"/>
    <x v="7"/>
  </r>
  <r>
    <s v="EMP-ID-489"/>
    <x v="3"/>
    <x v="14"/>
    <x v="3"/>
    <n v="15"/>
    <n v="16"/>
    <n v="240"/>
    <n v="0.12"/>
    <x v="8"/>
  </r>
  <r>
    <s v="EMP-ID-490"/>
    <x v="2"/>
    <x v="14"/>
    <x v="3"/>
    <n v="9"/>
    <n v="16"/>
    <n v="144"/>
    <n v="0.05"/>
    <x v="9"/>
  </r>
  <r>
    <s v="EMP-ID-491"/>
    <x v="4"/>
    <x v="14"/>
    <x v="1"/>
    <n v="7"/>
    <n v="40"/>
    <n v="280"/>
    <n v="0.05"/>
    <x v="0"/>
  </r>
  <r>
    <s v="EMP-ID-492"/>
    <x v="4"/>
    <x v="14"/>
    <x v="4"/>
    <n v="4"/>
    <n v="150"/>
    <n v="600"/>
    <n v="0.05"/>
    <x v="1"/>
  </r>
  <r>
    <s v="EMP-ID-493"/>
    <x v="0"/>
    <x v="14"/>
    <x v="2"/>
    <n v="15"/>
    <n v="230"/>
    <n v="3450"/>
    <n v="0.05"/>
    <x v="2"/>
  </r>
  <r>
    <s v="EMP-ID-494"/>
    <x v="1"/>
    <x v="15"/>
    <x v="1"/>
    <n v="12"/>
    <n v="40"/>
    <n v="480"/>
    <n v="0.1"/>
    <x v="12"/>
  </r>
  <r>
    <s v="EMP-ID-495"/>
    <x v="3"/>
    <x v="15"/>
    <x v="2"/>
    <n v="23"/>
    <n v="230"/>
    <n v="5290"/>
    <n v="0.06"/>
    <x v="4"/>
  </r>
  <r>
    <s v="EMP-ID-496"/>
    <x v="0"/>
    <x v="15"/>
    <x v="3"/>
    <n v="11"/>
    <n v="16"/>
    <n v="176"/>
    <n v="0.09"/>
    <x v="5"/>
  </r>
  <r>
    <s v="EMP-ID-497"/>
    <x v="0"/>
    <x v="15"/>
    <x v="4"/>
    <n v="9"/>
    <n v="150"/>
    <n v="1350"/>
    <n v="0.1"/>
    <x v="6"/>
  </r>
  <r>
    <s v="EMP-ID-498"/>
    <x v="0"/>
    <x v="15"/>
    <x v="0"/>
    <n v="18"/>
    <n v="80"/>
    <n v="1440"/>
    <n v="0.02"/>
    <x v="7"/>
  </r>
  <r>
    <s v="EMP-ID-499"/>
    <x v="4"/>
    <x v="15"/>
    <x v="1"/>
    <n v="23"/>
    <n v="40"/>
    <n v="920"/>
    <n v="0.04"/>
    <x v="8"/>
  </r>
  <r>
    <s v="EMP-ID-500"/>
    <x v="4"/>
    <x v="15"/>
    <x v="3"/>
    <n v="17"/>
    <n v="16"/>
    <n v="272"/>
    <n v="0.1"/>
    <x v="9"/>
  </r>
  <r>
    <s v="EMP-ID-501"/>
    <x v="4"/>
    <x v="15"/>
    <x v="4"/>
    <n v="17"/>
    <n v="150"/>
    <n v="2550"/>
    <n v="0.02"/>
    <x v="10"/>
  </r>
  <r>
    <s v="EMP-ID-502"/>
    <x v="3"/>
    <x v="15"/>
    <x v="0"/>
    <n v="21"/>
    <n v="80"/>
    <n v="1680"/>
    <n v="0.02"/>
    <x v="11"/>
  </r>
  <r>
    <s v="EMP-ID-503"/>
    <x v="3"/>
    <x v="15"/>
    <x v="1"/>
    <n v="11"/>
    <n v="40"/>
    <n v="440"/>
    <n v="0.06"/>
    <x v="0"/>
  </r>
  <r>
    <s v="EMP-ID-504"/>
    <x v="0"/>
    <x v="15"/>
    <x v="1"/>
    <n v="19"/>
    <n v="40"/>
    <n v="760"/>
    <n v="0.04"/>
    <x v="1"/>
  </r>
  <r>
    <s v="EMP-ID-505"/>
    <x v="0"/>
    <x v="15"/>
    <x v="1"/>
    <n v="23"/>
    <n v="40"/>
    <n v="920"/>
    <n v="0.03"/>
    <x v="2"/>
  </r>
  <r>
    <s v="EMP-ID-506"/>
    <x v="1"/>
    <x v="15"/>
    <x v="2"/>
    <n v="14"/>
    <n v="230"/>
    <n v="3220"/>
    <n v="0.05"/>
    <x v="12"/>
  </r>
  <r>
    <s v="EMP-ID-507"/>
    <x v="2"/>
    <x v="15"/>
    <x v="1"/>
    <n v="18"/>
    <n v="40"/>
    <n v="720"/>
    <n v="0.03"/>
    <x v="4"/>
  </r>
  <r>
    <s v="EMP-ID-508"/>
    <x v="1"/>
    <x v="15"/>
    <x v="4"/>
    <n v="2"/>
    <n v="150"/>
    <n v="300"/>
    <n v="0.09"/>
    <x v="5"/>
  </r>
  <r>
    <s v="EMP-ID-509"/>
    <x v="1"/>
    <x v="15"/>
    <x v="2"/>
    <n v="7"/>
    <n v="230"/>
    <n v="1610"/>
    <n v="0.05"/>
    <x v="6"/>
  </r>
  <r>
    <s v="EMP-ID-510"/>
    <x v="2"/>
    <x v="16"/>
    <x v="4"/>
    <n v="9"/>
    <n v="150"/>
    <n v="1350"/>
    <n v="0.02"/>
    <x v="7"/>
  </r>
  <r>
    <s v="EMP-ID-511"/>
    <x v="4"/>
    <x v="16"/>
    <x v="1"/>
    <n v="3"/>
    <n v="40"/>
    <n v="120"/>
    <n v="0.03"/>
    <x v="8"/>
  </r>
  <r>
    <s v="EMP-ID-512"/>
    <x v="3"/>
    <x v="16"/>
    <x v="0"/>
    <n v="2"/>
    <n v="80"/>
    <n v="160"/>
    <n v="0.08"/>
    <x v="9"/>
  </r>
  <r>
    <s v="EMP-ID-513"/>
    <x v="4"/>
    <x v="16"/>
    <x v="3"/>
    <n v="19"/>
    <n v="16"/>
    <n v="304"/>
    <n v="0.02"/>
    <x v="10"/>
  </r>
  <r>
    <s v="EMP-ID-514"/>
    <x v="1"/>
    <x v="16"/>
    <x v="3"/>
    <n v="21"/>
    <n v="16"/>
    <n v="336"/>
    <n v="0.02"/>
    <x v="11"/>
  </r>
  <r>
    <s v="EMP-ID-515"/>
    <x v="3"/>
    <x v="16"/>
    <x v="0"/>
    <n v="21"/>
    <n v="80"/>
    <n v="1680"/>
    <n v="0.05"/>
    <x v="0"/>
  </r>
  <r>
    <s v="EMP-ID-516"/>
    <x v="4"/>
    <x v="16"/>
    <x v="2"/>
    <n v="3"/>
    <n v="230"/>
    <n v="690"/>
    <n v="0.1"/>
    <x v="1"/>
  </r>
  <r>
    <s v="EMP-ID-517"/>
    <x v="2"/>
    <x v="16"/>
    <x v="1"/>
    <n v="4"/>
    <n v="40"/>
    <n v="160"/>
    <n v="0.11"/>
    <x v="2"/>
  </r>
  <r>
    <s v="EMP-ID-518"/>
    <x v="4"/>
    <x v="16"/>
    <x v="4"/>
    <n v="7"/>
    <n v="150"/>
    <n v="1050"/>
    <n v="0.03"/>
    <x v="12"/>
  </r>
  <r>
    <s v="EMP-ID-519"/>
    <x v="2"/>
    <x v="16"/>
    <x v="3"/>
    <n v="11"/>
    <n v="16"/>
    <n v="176"/>
    <n v="0.12"/>
    <x v="4"/>
  </r>
  <r>
    <s v="EMP-ID-520"/>
    <x v="0"/>
    <x v="16"/>
    <x v="0"/>
    <n v="17"/>
    <n v="80"/>
    <n v="1360"/>
    <n v="7.0000000000000007E-2"/>
    <x v="5"/>
  </r>
  <r>
    <s v="EMP-ID-521"/>
    <x v="3"/>
    <x v="16"/>
    <x v="3"/>
    <n v="5"/>
    <n v="16"/>
    <n v="80"/>
    <n v="0.09"/>
    <x v="6"/>
  </r>
  <r>
    <s v="EMP-ID-522"/>
    <x v="4"/>
    <x v="16"/>
    <x v="3"/>
    <n v="13"/>
    <n v="16"/>
    <n v="208"/>
    <n v="7.0000000000000007E-2"/>
    <x v="7"/>
  </r>
  <r>
    <s v="EMP-ID-523"/>
    <x v="4"/>
    <x v="16"/>
    <x v="0"/>
    <n v="9"/>
    <n v="80"/>
    <n v="720"/>
    <n v="0.02"/>
    <x v="8"/>
  </r>
  <r>
    <s v="EMP-ID-524"/>
    <x v="4"/>
    <x v="17"/>
    <x v="0"/>
    <n v="9"/>
    <n v="80"/>
    <n v="720"/>
    <n v="0.02"/>
    <x v="9"/>
  </r>
  <r>
    <s v="EMP-ID-525"/>
    <x v="3"/>
    <x v="17"/>
    <x v="0"/>
    <n v="22"/>
    <n v="80"/>
    <n v="1760"/>
    <n v="0.03"/>
    <x v="10"/>
  </r>
  <r>
    <s v="EMP-ID-526"/>
    <x v="0"/>
    <x v="17"/>
    <x v="4"/>
    <n v="13"/>
    <n v="150"/>
    <n v="1950"/>
    <n v="0.05"/>
    <x v="11"/>
  </r>
  <r>
    <s v="EMP-ID-527"/>
    <x v="0"/>
    <x v="17"/>
    <x v="0"/>
    <n v="14"/>
    <n v="80"/>
    <n v="1120"/>
    <n v="0.08"/>
    <x v="0"/>
  </r>
  <r>
    <s v="EMP-ID-528"/>
    <x v="0"/>
    <x v="17"/>
    <x v="0"/>
    <n v="6"/>
    <n v="80"/>
    <n v="480"/>
    <n v="7.0000000000000007E-2"/>
    <x v="1"/>
  </r>
  <r>
    <s v="EMP-ID-529"/>
    <x v="0"/>
    <x v="17"/>
    <x v="0"/>
    <n v="16"/>
    <n v="80"/>
    <n v="1280"/>
    <n v="0.03"/>
    <x v="2"/>
  </r>
  <r>
    <s v="EMP-ID-530"/>
    <x v="2"/>
    <x v="17"/>
    <x v="4"/>
    <n v="22"/>
    <n v="150"/>
    <n v="3300"/>
    <n v="0.09"/>
    <x v="12"/>
  </r>
  <r>
    <s v="EMP-ID-531"/>
    <x v="3"/>
    <x v="17"/>
    <x v="4"/>
    <n v="4"/>
    <n v="150"/>
    <n v="600"/>
    <n v="0.12"/>
    <x v="4"/>
  </r>
  <r>
    <s v="EMP-ID-532"/>
    <x v="4"/>
    <x v="17"/>
    <x v="2"/>
    <n v="7"/>
    <n v="230"/>
    <n v="1610"/>
    <n v="0.05"/>
    <x v="5"/>
  </r>
  <r>
    <s v="EMP-ID-533"/>
    <x v="3"/>
    <x v="17"/>
    <x v="4"/>
    <n v="20"/>
    <n v="150"/>
    <n v="3000"/>
    <n v="0.1"/>
    <x v="6"/>
  </r>
  <r>
    <s v="EMP-ID-534"/>
    <x v="3"/>
    <x v="17"/>
    <x v="2"/>
    <n v="8"/>
    <n v="230"/>
    <n v="1840"/>
    <n v="0.05"/>
    <x v="7"/>
  </r>
  <r>
    <s v="EMP-ID-535"/>
    <x v="3"/>
    <x v="18"/>
    <x v="1"/>
    <n v="9"/>
    <n v="40"/>
    <n v="360"/>
    <n v="0.06"/>
    <x v="8"/>
  </r>
  <r>
    <s v="EMP-ID-536"/>
    <x v="3"/>
    <x v="18"/>
    <x v="2"/>
    <n v="19"/>
    <n v="230"/>
    <n v="4370"/>
    <n v="0.06"/>
    <x v="9"/>
  </r>
  <r>
    <s v="EMP-ID-537"/>
    <x v="3"/>
    <x v="18"/>
    <x v="1"/>
    <n v="22"/>
    <n v="40"/>
    <n v="880"/>
    <n v="0.01"/>
    <x v="10"/>
  </r>
  <r>
    <s v="EMP-ID-538"/>
    <x v="0"/>
    <x v="18"/>
    <x v="1"/>
    <n v="22"/>
    <n v="40"/>
    <n v="880"/>
    <n v="0.02"/>
    <x v="11"/>
  </r>
  <r>
    <s v="EMP-ID-539"/>
    <x v="4"/>
    <x v="18"/>
    <x v="0"/>
    <n v="10"/>
    <n v="80"/>
    <n v="800"/>
    <n v="0.06"/>
    <x v="0"/>
  </r>
  <r>
    <s v="EMP-ID-540"/>
    <x v="3"/>
    <x v="18"/>
    <x v="1"/>
    <n v="7"/>
    <n v="40"/>
    <n v="280"/>
    <n v="0.11"/>
    <x v="1"/>
  </r>
  <r>
    <s v="EMP-ID-541"/>
    <x v="0"/>
    <x v="18"/>
    <x v="2"/>
    <n v="7"/>
    <n v="230"/>
    <n v="1610"/>
    <n v="0.08"/>
    <x v="2"/>
  </r>
  <r>
    <s v="EMP-ID-542"/>
    <x v="0"/>
    <x v="18"/>
    <x v="3"/>
    <n v="18"/>
    <n v="16"/>
    <n v="288"/>
    <n v="0.11"/>
    <x v="12"/>
  </r>
  <r>
    <s v="EMP-ID-543"/>
    <x v="2"/>
    <x v="18"/>
    <x v="2"/>
    <n v="14"/>
    <n v="230"/>
    <n v="3220"/>
    <n v="0.12"/>
    <x v="4"/>
  </r>
  <r>
    <s v="EMP-ID-544"/>
    <x v="1"/>
    <x v="18"/>
    <x v="1"/>
    <n v="21"/>
    <n v="40"/>
    <n v="840"/>
    <n v="0.03"/>
    <x v="5"/>
  </r>
  <r>
    <s v="EMP-ID-545"/>
    <x v="0"/>
    <x v="18"/>
    <x v="4"/>
    <n v="3"/>
    <n v="150"/>
    <n v="450"/>
    <n v="0.03"/>
    <x v="6"/>
  </r>
  <r>
    <s v="EMP-ID-546"/>
    <x v="0"/>
    <x v="18"/>
    <x v="0"/>
    <n v="12"/>
    <n v="80"/>
    <n v="960"/>
    <n v="0.04"/>
    <x v="7"/>
  </r>
  <r>
    <s v="EMP-ID-547"/>
    <x v="3"/>
    <x v="19"/>
    <x v="4"/>
    <n v="6"/>
    <n v="150"/>
    <n v="900"/>
    <n v="0.03"/>
    <x v="8"/>
  </r>
  <r>
    <s v="EMP-ID-548"/>
    <x v="2"/>
    <x v="19"/>
    <x v="1"/>
    <n v="20"/>
    <n v="40"/>
    <n v="800"/>
    <n v="0.01"/>
    <x v="9"/>
  </r>
  <r>
    <s v="EMP-ID-549"/>
    <x v="0"/>
    <x v="19"/>
    <x v="2"/>
    <n v="3"/>
    <n v="230"/>
    <n v="690"/>
    <n v="0.06"/>
    <x v="6"/>
  </r>
  <r>
    <s v="EMP-ID-550"/>
    <x v="3"/>
    <x v="19"/>
    <x v="2"/>
    <n v="3"/>
    <n v="230"/>
    <n v="690"/>
    <n v="0.01"/>
    <x v="7"/>
  </r>
  <r>
    <s v="EMP-ID-551"/>
    <x v="0"/>
    <x v="19"/>
    <x v="1"/>
    <n v="20"/>
    <n v="40"/>
    <n v="800"/>
    <n v="0.04"/>
    <x v="8"/>
  </r>
  <r>
    <s v="EMP-ID-552"/>
    <x v="2"/>
    <x v="19"/>
    <x v="0"/>
    <n v="16"/>
    <n v="80"/>
    <n v="1280"/>
    <n v="0.02"/>
    <x v="9"/>
  </r>
  <r>
    <s v="EMP-ID-553"/>
    <x v="0"/>
    <x v="19"/>
    <x v="4"/>
    <n v="8"/>
    <n v="150"/>
    <n v="1200"/>
    <n v="0.09"/>
    <x v="6"/>
  </r>
  <r>
    <s v="EMP-ID-554"/>
    <x v="1"/>
    <x v="20"/>
    <x v="2"/>
    <n v="7"/>
    <n v="230"/>
    <n v="1610"/>
    <n v="0.01"/>
    <x v="7"/>
  </r>
  <r>
    <s v="EMP-ID-555"/>
    <x v="1"/>
    <x v="20"/>
    <x v="4"/>
    <n v="23"/>
    <n v="150"/>
    <n v="3450"/>
    <n v="0.11"/>
    <x v="8"/>
  </r>
  <r>
    <s v="EMP-ID-556"/>
    <x v="4"/>
    <x v="20"/>
    <x v="1"/>
    <n v="16"/>
    <n v="40"/>
    <n v="640"/>
    <n v="0.09"/>
    <x v="9"/>
  </r>
  <r>
    <s v="EMP-ID-557"/>
    <x v="4"/>
    <x v="20"/>
    <x v="1"/>
    <n v="20"/>
    <n v="40"/>
    <n v="800"/>
    <n v="0.1"/>
    <x v="6"/>
  </r>
  <r>
    <s v="EMP-ID-558"/>
    <x v="1"/>
    <x v="20"/>
    <x v="1"/>
    <n v="18"/>
    <n v="40"/>
    <n v="720"/>
    <n v="0.08"/>
    <x v="7"/>
  </r>
  <r>
    <s v="EMP-ID-559"/>
    <x v="4"/>
    <x v="20"/>
    <x v="0"/>
    <n v="22"/>
    <n v="80"/>
    <n v="1760"/>
    <n v="0.09"/>
    <x v="8"/>
  </r>
  <r>
    <s v="EMP-ID-560"/>
    <x v="1"/>
    <x v="20"/>
    <x v="4"/>
    <n v="22"/>
    <n v="150"/>
    <n v="3300"/>
    <n v="0.02"/>
    <x v="9"/>
  </r>
  <r>
    <s v="EMP-ID-561"/>
    <x v="1"/>
    <x v="20"/>
    <x v="4"/>
    <n v="20"/>
    <n v="150"/>
    <n v="3000"/>
    <n v="0.09"/>
    <x v="6"/>
  </r>
  <r>
    <s v="EMP-ID-562"/>
    <x v="0"/>
    <x v="20"/>
    <x v="3"/>
    <n v="10"/>
    <n v="16"/>
    <n v="160"/>
    <n v="0.08"/>
    <x v="7"/>
  </r>
  <r>
    <s v="EMP-ID-563"/>
    <x v="2"/>
    <x v="20"/>
    <x v="1"/>
    <n v="12"/>
    <n v="40"/>
    <n v="480"/>
    <n v="0.02"/>
    <x v="8"/>
  </r>
  <r>
    <s v="EMP-ID-564"/>
    <x v="0"/>
    <x v="20"/>
    <x v="4"/>
    <n v="4"/>
    <n v="150"/>
    <n v="600"/>
    <n v="0.1"/>
    <x v="9"/>
  </r>
  <r>
    <s v="EMP-ID-565"/>
    <x v="2"/>
    <x v="20"/>
    <x v="0"/>
    <n v="5"/>
    <n v="80"/>
    <n v="400"/>
    <n v="0.09"/>
    <x v="6"/>
  </r>
  <r>
    <s v="EMP-ID-566"/>
    <x v="0"/>
    <x v="20"/>
    <x v="1"/>
    <n v="11"/>
    <n v="40"/>
    <n v="440"/>
    <n v="0.04"/>
    <x v="7"/>
  </r>
  <r>
    <s v="EMP-ID-567"/>
    <x v="1"/>
    <x v="20"/>
    <x v="4"/>
    <n v="13"/>
    <n v="150"/>
    <n v="1950"/>
    <n v="0.08"/>
    <x v="8"/>
  </r>
  <r>
    <s v="EMP-ID-568"/>
    <x v="3"/>
    <x v="20"/>
    <x v="0"/>
    <n v="19"/>
    <n v="80"/>
    <n v="1520"/>
    <n v="0.02"/>
    <x v="9"/>
  </r>
  <r>
    <s v="EMP-ID-569"/>
    <x v="1"/>
    <x v="20"/>
    <x v="2"/>
    <n v="7"/>
    <n v="230"/>
    <n v="1610"/>
    <n v="0.01"/>
    <x v="6"/>
  </r>
  <r>
    <s v="EMP-ID-570"/>
    <x v="4"/>
    <x v="21"/>
    <x v="0"/>
    <n v="16"/>
    <n v="80"/>
    <n v="1280"/>
    <n v="0.09"/>
    <x v="7"/>
  </r>
  <r>
    <s v="EMP-ID-571"/>
    <x v="0"/>
    <x v="21"/>
    <x v="2"/>
    <n v="7"/>
    <n v="230"/>
    <n v="1610"/>
    <n v="0.02"/>
    <x v="8"/>
  </r>
  <r>
    <s v="EMP-ID-572"/>
    <x v="0"/>
    <x v="21"/>
    <x v="1"/>
    <n v="5"/>
    <n v="40"/>
    <n v="200"/>
    <n v="0.06"/>
    <x v="9"/>
  </r>
  <r>
    <s v="EMP-ID-573"/>
    <x v="2"/>
    <x v="21"/>
    <x v="4"/>
    <n v="9"/>
    <n v="150"/>
    <n v="1350"/>
    <n v="0.06"/>
    <x v="6"/>
  </r>
  <r>
    <s v="EMP-ID-574"/>
    <x v="4"/>
    <x v="21"/>
    <x v="1"/>
    <n v="20"/>
    <n v="40"/>
    <n v="800"/>
    <n v="7.0000000000000007E-2"/>
    <x v="7"/>
  </r>
  <r>
    <s v="EMP-ID-575"/>
    <x v="1"/>
    <x v="21"/>
    <x v="3"/>
    <n v="20"/>
    <n v="16"/>
    <n v="320"/>
    <n v="0.06"/>
    <x v="8"/>
  </r>
  <r>
    <s v="EMP-ID-576"/>
    <x v="4"/>
    <x v="21"/>
    <x v="1"/>
    <n v="5"/>
    <n v="40"/>
    <n v="200"/>
    <n v="0.03"/>
    <x v="9"/>
  </r>
  <r>
    <s v="EMP-ID-577"/>
    <x v="3"/>
    <x v="22"/>
    <x v="0"/>
    <n v="7"/>
    <n v="80"/>
    <n v="560"/>
    <n v="7.0000000000000007E-2"/>
    <x v="6"/>
  </r>
  <r>
    <s v="EMP-ID-578"/>
    <x v="4"/>
    <x v="22"/>
    <x v="3"/>
    <n v="22"/>
    <n v="16"/>
    <n v="352"/>
    <n v="0.12"/>
    <x v="7"/>
  </r>
  <r>
    <s v="EMP-ID-579"/>
    <x v="4"/>
    <x v="22"/>
    <x v="3"/>
    <n v="11"/>
    <n v="16"/>
    <n v="176"/>
    <n v="0.12"/>
    <x v="8"/>
  </r>
  <r>
    <s v="EMP-ID-580"/>
    <x v="3"/>
    <x v="22"/>
    <x v="2"/>
    <n v="17"/>
    <n v="230"/>
    <n v="3910"/>
    <n v="0.12"/>
    <x v="9"/>
  </r>
  <r>
    <s v="EMP-ID-581"/>
    <x v="0"/>
    <x v="22"/>
    <x v="0"/>
    <n v="7"/>
    <n v="80"/>
    <n v="560"/>
    <n v="0.02"/>
    <x v="6"/>
  </r>
  <r>
    <s v="EMP-ID-582"/>
    <x v="1"/>
    <x v="22"/>
    <x v="3"/>
    <n v="5"/>
    <n v="16"/>
    <n v="80"/>
    <n v="0.11"/>
    <x v="7"/>
  </r>
  <r>
    <s v="EMP-ID-583"/>
    <x v="4"/>
    <x v="22"/>
    <x v="4"/>
    <n v="18"/>
    <n v="150"/>
    <n v="2700"/>
    <n v="0.12"/>
    <x v="8"/>
  </r>
  <r>
    <s v="EMP-ID-584"/>
    <x v="4"/>
    <x v="22"/>
    <x v="1"/>
    <n v="10"/>
    <n v="40"/>
    <n v="400"/>
    <n v="0.03"/>
    <x v="9"/>
  </r>
  <r>
    <s v="EMP-ID-585"/>
    <x v="4"/>
    <x v="22"/>
    <x v="1"/>
    <n v="14"/>
    <n v="40"/>
    <n v="560"/>
    <n v="0.11"/>
    <x v="6"/>
  </r>
  <r>
    <s v="EMP-ID-586"/>
    <x v="4"/>
    <x v="22"/>
    <x v="1"/>
    <n v="16"/>
    <n v="40"/>
    <n v="640"/>
    <n v="0.09"/>
    <x v="7"/>
  </r>
  <r>
    <s v="EMP-ID-587"/>
    <x v="3"/>
    <x v="23"/>
    <x v="1"/>
    <n v="23"/>
    <n v="40"/>
    <n v="920"/>
    <n v="0.06"/>
    <x v="8"/>
  </r>
  <r>
    <s v="EMP-ID-588"/>
    <x v="3"/>
    <x v="23"/>
    <x v="2"/>
    <n v="8"/>
    <n v="230"/>
    <n v="1840"/>
    <n v="0.05"/>
    <x v="9"/>
  </r>
  <r>
    <s v="EMP-ID-589"/>
    <x v="3"/>
    <x v="23"/>
    <x v="3"/>
    <n v="14"/>
    <n v="16"/>
    <n v="224"/>
    <n v="0.12"/>
    <x v="6"/>
  </r>
  <r>
    <s v="EMP-ID-590"/>
    <x v="0"/>
    <x v="23"/>
    <x v="0"/>
    <n v="17"/>
    <n v="80"/>
    <n v="1360"/>
    <n v="0.09"/>
    <x v="7"/>
  </r>
  <r>
    <s v="EMP-ID-591"/>
    <x v="2"/>
    <x v="23"/>
    <x v="4"/>
    <n v="11"/>
    <n v="150"/>
    <n v="1650"/>
    <n v="0.11"/>
    <x v="8"/>
  </r>
  <r>
    <s v="EMP-ID-592"/>
    <x v="3"/>
    <x v="23"/>
    <x v="1"/>
    <n v="15"/>
    <n v="40"/>
    <n v="600"/>
    <n v="0.03"/>
    <x v="9"/>
  </r>
  <r>
    <s v="EMP-ID-593"/>
    <x v="4"/>
    <x v="23"/>
    <x v="0"/>
    <n v="9"/>
    <n v="80"/>
    <n v="720"/>
    <n v="7.0000000000000007E-2"/>
    <x v="6"/>
  </r>
  <r>
    <s v="EMP-ID-594"/>
    <x v="1"/>
    <x v="23"/>
    <x v="2"/>
    <n v="22"/>
    <n v="230"/>
    <n v="5060"/>
    <n v="0.04"/>
    <x v="7"/>
  </r>
  <r>
    <s v="EMP-ID-595"/>
    <x v="1"/>
    <x v="23"/>
    <x v="2"/>
    <n v="11"/>
    <n v="230"/>
    <n v="2530"/>
    <n v="0.1"/>
    <x v="8"/>
  </r>
  <r>
    <s v="EMP-ID-596"/>
    <x v="2"/>
    <x v="23"/>
    <x v="1"/>
    <n v="11"/>
    <n v="40"/>
    <n v="440"/>
    <n v="0.12"/>
    <x v="9"/>
  </r>
  <r>
    <s v="EMP-ID-597"/>
    <x v="3"/>
    <x v="23"/>
    <x v="1"/>
    <n v="9"/>
    <n v="40"/>
    <n v="360"/>
    <n v="0.06"/>
    <x v="6"/>
  </r>
  <r>
    <s v="EMP-ID-598"/>
    <x v="3"/>
    <x v="24"/>
    <x v="1"/>
    <n v="13"/>
    <n v="40"/>
    <n v="520"/>
    <n v="0.09"/>
    <x v="7"/>
  </r>
  <r>
    <s v="EMP-ID-599"/>
    <x v="1"/>
    <x v="24"/>
    <x v="1"/>
    <n v="4"/>
    <n v="40"/>
    <n v="160"/>
    <n v="0.12"/>
    <x v="8"/>
  </r>
  <r>
    <s v="EMP-ID-600"/>
    <x v="0"/>
    <x v="24"/>
    <x v="4"/>
    <n v="22"/>
    <n v="150"/>
    <n v="3300"/>
    <n v="0.05"/>
    <x v="9"/>
  </r>
  <r>
    <s v="EMP-ID-601"/>
    <x v="4"/>
    <x v="24"/>
    <x v="1"/>
    <n v="21"/>
    <n v="40"/>
    <n v="840"/>
    <n v="0.01"/>
    <x v="6"/>
  </r>
  <r>
    <s v="EMP-ID-602"/>
    <x v="0"/>
    <x v="24"/>
    <x v="3"/>
    <n v="16"/>
    <n v="16"/>
    <n v="256"/>
    <n v="0.03"/>
    <x v="7"/>
  </r>
  <r>
    <s v="EMP-ID-603"/>
    <x v="3"/>
    <x v="24"/>
    <x v="0"/>
    <n v="16"/>
    <n v="80"/>
    <n v="1280"/>
    <n v="7.0000000000000007E-2"/>
    <x v="8"/>
  </r>
  <r>
    <s v="EMP-ID-604"/>
    <x v="1"/>
    <x v="24"/>
    <x v="0"/>
    <n v="15"/>
    <n v="80"/>
    <n v="1200"/>
    <n v="0.12"/>
    <x v="9"/>
  </r>
  <r>
    <s v="EMP-ID-605"/>
    <x v="0"/>
    <x v="24"/>
    <x v="4"/>
    <n v="20"/>
    <n v="150"/>
    <n v="3000"/>
    <n v="0.03"/>
    <x v="6"/>
  </r>
  <r>
    <s v="EMP-ID-606"/>
    <x v="3"/>
    <x v="24"/>
    <x v="1"/>
    <n v="13"/>
    <n v="40"/>
    <n v="520"/>
    <n v="0.06"/>
    <x v="7"/>
  </r>
  <r>
    <s v="EMP-ID-607"/>
    <x v="4"/>
    <x v="24"/>
    <x v="3"/>
    <n v="3"/>
    <n v="16"/>
    <n v="48"/>
    <n v="0.06"/>
    <x v="8"/>
  </r>
  <r>
    <s v="EMP-ID-608"/>
    <x v="2"/>
    <x v="24"/>
    <x v="3"/>
    <n v="11"/>
    <n v="16"/>
    <n v="176"/>
    <n v="0.04"/>
    <x v="9"/>
  </r>
  <r>
    <s v="EMP-ID-609"/>
    <x v="4"/>
    <x v="25"/>
    <x v="1"/>
    <n v="16"/>
    <n v="40"/>
    <n v="640"/>
    <n v="0.09"/>
    <x v="6"/>
  </r>
  <r>
    <s v="EMP-ID-610"/>
    <x v="2"/>
    <x v="25"/>
    <x v="1"/>
    <n v="4"/>
    <n v="40"/>
    <n v="160"/>
    <n v="0.06"/>
    <x v="7"/>
  </r>
  <r>
    <s v="EMP-ID-611"/>
    <x v="2"/>
    <x v="25"/>
    <x v="1"/>
    <n v="20"/>
    <n v="40"/>
    <n v="800"/>
    <n v="0.01"/>
    <x v="8"/>
  </r>
  <r>
    <s v="EMP-ID-612"/>
    <x v="2"/>
    <x v="25"/>
    <x v="1"/>
    <n v="4"/>
    <n v="40"/>
    <n v="160"/>
    <n v="0.1"/>
    <x v="9"/>
  </r>
  <r>
    <s v="EMP-ID-613"/>
    <x v="1"/>
    <x v="25"/>
    <x v="0"/>
    <n v="14"/>
    <n v="80"/>
    <n v="1120"/>
    <n v="0.06"/>
    <x v="6"/>
  </r>
  <r>
    <s v="EMP-ID-614"/>
    <x v="1"/>
    <x v="25"/>
    <x v="4"/>
    <n v="15"/>
    <n v="150"/>
    <n v="2250"/>
    <n v="0.02"/>
    <x v="7"/>
  </r>
  <r>
    <s v="EMP-ID-615"/>
    <x v="2"/>
    <x v="25"/>
    <x v="0"/>
    <n v="14"/>
    <n v="80"/>
    <n v="1120"/>
    <n v="0.1"/>
    <x v="8"/>
  </r>
  <r>
    <s v="EMP-ID-616"/>
    <x v="0"/>
    <x v="25"/>
    <x v="4"/>
    <n v="20"/>
    <n v="150"/>
    <n v="3000"/>
    <n v="0.04"/>
    <x v="9"/>
  </r>
  <r>
    <s v="EMP-ID-617"/>
    <x v="4"/>
    <x v="25"/>
    <x v="0"/>
    <n v="22"/>
    <n v="80"/>
    <n v="1760"/>
    <n v="0.1"/>
    <x v="6"/>
  </r>
  <r>
    <s v="EMP-ID-618"/>
    <x v="4"/>
    <x v="25"/>
    <x v="2"/>
    <n v="20"/>
    <n v="230"/>
    <n v="4600"/>
    <n v="0.09"/>
    <x v="7"/>
  </r>
  <r>
    <s v="EMP-ID-619"/>
    <x v="2"/>
    <x v="25"/>
    <x v="2"/>
    <n v="12"/>
    <n v="230"/>
    <n v="2760"/>
    <n v="0.03"/>
    <x v="8"/>
  </r>
  <r>
    <s v="EMP-ID-620"/>
    <x v="0"/>
    <x v="26"/>
    <x v="0"/>
    <n v="21"/>
    <n v="80"/>
    <n v="1680"/>
    <n v="0.04"/>
    <x v="9"/>
  </r>
  <r>
    <s v="EMP-ID-621"/>
    <x v="1"/>
    <x v="26"/>
    <x v="1"/>
    <n v="15"/>
    <n v="40"/>
    <n v="600"/>
    <n v="0.04"/>
    <x v="6"/>
  </r>
  <r>
    <s v="EMP-ID-622"/>
    <x v="3"/>
    <x v="26"/>
    <x v="0"/>
    <n v="16"/>
    <n v="80"/>
    <n v="1280"/>
    <n v="0.1"/>
    <x v="7"/>
  </r>
  <r>
    <s v="EMP-ID-623"/>
    <x v="4"/>
    <x v="26"/>
    <x v="2"/>
    <n v="17"/>
    <n v="230"/>
    <n v="3910"/>
    <n v="0.11"/>
    <x v="8"/>
  </r>
  <r>
    <s v="EMP-ID-624"/>
    <x v="4"/>
    <x v="26"/>
    <x v="2"/>
    <n v="5"/>
    <n v="230"/>
    <n v="1150"/>
    <n v="0.12"/>
    <x v="9"/>
  </r>
  <r>
    <s v="EMP-ID-625"/>
    <x v="0"/>
    <x v="26"/>
    <x v="3"/>
    <n v="20"/>
    <n v="16"/>
    <n v="320"/>
    <n v="0.01"/>
    <x v="6"/>
  </r>
  <r>
    <s v="EMP-ID-626"/>
    <x v="0"/>
    <x v="26"/>
    <x v="2"/>
    <n v="5"/>
    <n v="230"/>
    <n v="1150"/>
    <n v="0.1"/>
    <x v="7"/>
  </r>
  <r>
    <s v="EMP-ID-627"/>
    <x v="1"/>
    <x v="26"/>
    <x v="1"/>
    <n v="8"/>
    <n v="40"/>
    <n v="320"/>
    <n v="0.09"/>
    <x v="8"/>
  </r>
  <r>
    <s v="EMP-ID-628"/>
    <x v="0"/>
    <x v="26"/>
    <x v="3"/>
    <n v="7"/>
    <n v="16"/>
    <n v="112"/>
    <n v="0.02"/>
    <x v="9"/>
  </r>
  <r>
    <s v="EMP-ID-629"/>
    <x v="3"/>
    <x v="26"/>
    <x v="4"/>
    <n v="15"/>
    <n v="150"/>
    <n v="2250"/>
    <n v="0.08"/>
    <x v="6"/>
  </r>
  <r>
    <s v="EMP-ID-630"/>
    <x v="4"/>
    <x v="26"/>
    <x v="2"/>
    <n v="20"/>
    <n v="230"/>
    <n v="4600"/>
    <n v="0.11"/>
    <x v="7"/>
  </r>
  <r>
    <s v="EMP-ID-631"/>
    <x v="1"/>
    <x v="26"/>
    <x v="3"/>
    <n v="4"/>
    <n v="16"/>
    <n v="64"/>
    <n v="0.09"/>
    <x v="8"/>
  </r>
  <r>
    <s v="EMP-ID-632"/>
    <x v="3"/>
    <x v="26"/>
    <x v="1"/>
    <n v="11"/>
    <n v="40"/>
    <n v="440"/>
    <n v="0.09"/>
    <x v="9"/>
  </r>
  <r>
    <s v="EMP-ID-633"/>
    <x v="2"/>
    <x v="26"/>
    <x v="4"/>
    <n v="15"/>
    <n v="150"/>
    <n v="2250"/>
    <n v="0.05"/>
    <x v="6"/>
  </r>
  <r>
    <s v="EMP-ID-634"/>
    <x v="2"/>
    <x v="26"/>
    <x v="2"/>
    <n v="5"/>
    <n v="230"/>
    <n v="1150"/>
    <n v="0.01"/>
    <x v="7"/>
  </r>
  <r>
    <s v="EMP-ID-635"/>
    <x v="2"/>
    <x v="26"/>
    <x v="2"/>
    <n v="14"/>
    <n v="230"/>
    <n v="3220"/>
    <n v="0.03"/>
    <x v="8"/>
  </r>
  <r>
    <s v="EMP-ID-636"/>
    <x v="4"/>
    <x v="26"/>
    <x v="1"/>
    <n v="23"/>
    <n v="40"/>
    <n v="920"/>
    <n v="0.05"/>
    <x v="9"/>
  </r>
  <r>
    <s v="EMP-ID-637"/>
    <x v="3"/>
    <x v="26"/>
    <x v="0"/>
    <n v="22"/>
    <n v="80"/>
    <n v="1760"/>
    <n v="0.03"/>
    <x v="6"/>
  </r>
  <r>
    <s v="EMP-ID-638"/>
    <x v="2"/>
    <x v="27"/>
    <x v="2"/>
    <n v="20"/>
    <n v="230"/>
    <n v="4600"/>
    <n v="0.06"/>
    <x v="7"/>
  </r>
  <r>
    <s v="EMP-ID-639"/>
    <x v="1"/>
    <x v="27"/>
    <x v="2"/>
    <n v="15"/>
    <n v="230"/>
    <n v="3450"/>
    <n v="0.09"/>
    <x v="8"/>
  </r>
  <r>
    <s v="EMP-ID-640"/>
    <x v="2"/>
    <x v="27"/>
    <x v="4"/>
    <n v="18"/>
    <n v="150"/>
    <n v="2700"/>
    <n v="0.06"/>
    <x v="9"/>
  </r>
  <r>
    <s v="EMP-ID-641"/>
    <x v="0"/>
    <x v="27"/>
    <x v="2"/>
    <n v="3"/>
    <n v="230"/>
    <n v="690"/>
    <n v="0.11"/>
    <x v="6"/>
  </r>
  <r>
    <s v="EMP-ID-642"/>
    <x v="4"/>
    <x v="27"/>
    <x v="4"/>
    <n v="11"/>
    <n v="150"/>
    <n v="1650"/>
    <n v="0.09"/>
    <x v="7"/>
  </r>
  <r>
    <s v="EMP-ID-643"/>
    <x v="0"/>
    <x v="27"/>
    <x v="2"/>
    <n v="11"/>
    <n v="230"/>
    <n v="2530"/>
    <n v="0.02"/>
    <x v="8"/>
  </r>
  <r>
    <s v="EMP-ID-644"/>
    <x v="4"/>
    <x v="27"/>
    <x v="2"/>
    <n v="13"/>
    <n v="230"/>
    <n v="2990"/>
    <n v="0.06"/>
    <x v="9"/>
  </r>
  <r>
    <s v="EMP-ID-645"/>
    <x v="3"/>
    <x v="28"/>
    <x v="0"/>
    <n v="11"/>
    <n v="80"/>
    <n v="880"/>
    <n v="0.01"/>
    <x v="6"/>
  </r>
  <r>
    <s v="EMP-ID-646"/>
    <x v="4"/>
    <x v="28"/>
    <x v="0"/>
    <n v="17"/>
    <n v="80"/>
    <n v="1360"/>
    <n v="7.0000000000000007E-2"/>
    <x v="7"/>
  </r>
  <r>
    <s v="EMP-ID-647"/>
    <x v="4"/>
    <x v="28"/>
    <x v="4"/>
    <n v="15"/>
    <n v="150"/>
    <n v="2250"/>
    <n v="7.0000000000000007E-2"/>
    <x v="8"/>
  </r>
  <r>
    <s v="EMP-ID-648"/>
    <x v="4"/>
    <x v="28"/>
    <x v="3"/>
    <n v="14"/>
    <n v="16"/>
    <n v="224"/>
    <n v="0.06"/>
    <x v="9"/>
  </r>
  <r>
    <s v="EMP-ID-649"/>
    <x v="1"/>
    <x v="28"/>
    <x v="3"/>
    <n v="4"/>
    <n v="16"/>
    <n v="64"/>
    <n v="7.0000000000000007E-2"/>
    <x v="6"/>
  </r>
  <r>
    <s v="EMP-ID-650"/>
    <x v="4"/>
    <x v="28"/>
    <x v="4"/>
    <n v="23"/>
    <n v="150"/>
    <n v="3450"/>
    <n v="0.08"/>
    <x v="7"/>
  </r>
  <r>
    <s v="EMP-ID-651"/>
    <x v="2"/>
    <x v="28"/>
    <x v="0"/>
    <n v="10"/>
    <n v="80"/>
    <n v="800"/>
    <n v="0.11"/>
    <x v="8"/>
  </r>
  <r>
    <s v="EMP-ID-652"/>
    <x v="2"/>
    <x v="28"/>
    <x v="2"/>
    <n v="7"/>
    <n v="230"/>
    <n v="1610"/>
    <n v="0.01"/>
    <x v="9"/>
  </r>
  <r>
    <s v="EMP-ID-653"/>
    <x v="0"/>
    <x v="28"/>
    <x v="2"/>
    <n v="16"/>
    <n v="230"/>
    <n v="3680"/>
    <n v="7.0000000000000007E-2"/>
    <x v="6"/>
  </r>
  <r>
    <s v="EMP-ID-654"/>
    <x v="4"/>
    <x v="28"/>
    <x v="3"/>
    <n v="17"/>
    <n v="16"/>
    <n v="272"/>
    <n v="0.08"/>
    <x v="7"/>
  </r>
  <r>
    <s v="EMP-ID-655"/>
    <x v="4"/>
    <x v="29"/>
    <x v="0"/>
    <n v="6"/>
    <n v="80"/>
    <n v="480"/>
    <n v="0.09"/>
    <x v="8"/>
  </r>
  <r>
    <s v="EMP-ID-656"/>
    <x v="2"/>
    <x v="29"/>
    <x v="4"/>
    <n v="22"/>
    <n v="150"/>
    <n v="3300"/>
    <n v="0.04"/>
    <x v="9"/>
  </r>
  <r>
    <s v="EMP-ID-657"/>
    <x v="4"/>
    <x v="29"/>
    <x v="1"/>
    <n v="20"/>
    <n v="40"/>
    <n v="800"/>
    <n v="0.03"/>
    <x v="6"/>
  </r>
  <r>
    <s v="EMP-ID-658"/>
    <x v="1"/>
    <x v="29"/>
    <x v="4"/>
    <n v="16"/>
    <n v="150"/>
    <n v="2400"/>
    <n v="0.08"/>
    <x v="7"/>
  </r>
  <r>
    <s v="EMP-ID-659"/>
    <x v="1"/>
    <x v="29"/>
    <x v="0"/>
    <n v="5"/>
    <n v="80"/>
    <n v="400"/>
    <n v="7.0000000000000007E-2"/>
    <x v="8"/>
  </r>
  <r>
    <s v="EMP-ID-660"/>
    <x v="3"/>
    <x v="29"/>
    <x v="4"/>
    <n v="6"/>
    <n v="150"/>
    <n v="900"/>
    <n v="0.03"/>
    <x v="9"/>
  </r>
  <r>
    <s v="EMP-ID-661"/>
    <x v="1"/>
    <x v="30"/>
    <x v="0"/>
    <n v="9"/>
    <n v="80"/>
    <n v="720"/>
    <n v="0.03"/>
    <x v="6"/>
  </r>
  <r>
    <s v="EMP-ID-662"/>
    <x v="0"/>
    <x v="30"/>
    <x v="0"/>
    <n v="8"/>
    <n v="80"/>
    <n v="640"/>
    <n v="0.08"/>
    <x v="7"/>
  </r>
  <r>
    <s v="EMP-ID-663"/>
    <x v="3"/>
    <x v="30"/>
    <x v="2"/>
    <n v="8"/>
    <n v="230"/>
    <n v="1840"/>
    <n v="0.01"/>
    <x v="8"/>
  </r>
  <r>
    <s v="EMP-ID-664"/>
    <x v="4"/>
    <x v="30"/>
    <x v="3"/>
    <n v="12"/>
    <n v="16"/>
    <n v="192"/>
    <n v="0.04"/>
    <x v="9"/>
  </r>
  <r>
    <s v="EMP-ID-665"/>
    <x v="3"/>
    <x v="30"/>
    <x v="3"/>
    <n v="18"/>
    <n v="16"/>
    <n v="288"/>
    <n v="0.04"/>
    <x v="6"/>
  </r>
  <r>
    <s v="EMP-ID-666"/>
    <x v="3"/>
    <x v="0"/>
    <x v="3"/>
    <n v="10"/>
    <n v="16"/>
    <n v="160"/>
    <n v="0.01"/>
    <x v="7"/>
  </r>
  <r>
    <s v="EMP-ID-667"/>
    <x v="3"/>
    <x v="0"/>
    <x v="3"/>
    <n v="14"/>
    <n v="16"/>
    <n v="224"/>
    <n v="0.12"/>
    <x v="8"/>
  </r>
  <r>
    <s v="EMP-ID-668"/>
    <x v="2"/>
    <x v="0"/>
    <x v="1"/>
    <n v="6"/>
    <n v="40"/>
    <n v="240"/>
    <n v="0.06"/>
    <x v="9"/>
  </r>
  <r>
    <s v="EMP-ID-669"/>
    <x v="3"/>
    <x v="0"/>
    <x v="1"/>
    <n v="13"/>
    <n v="40"/>
    <n v="520"/>
    <n v="0.09"/>
    <x v="6"/>
  </r>
  <r>
    <s v="EMP-ID-670"/>
    <x v="3"/>
    <x v="0"/>
    <x v="3"/>
    <n v="10"/>
    <n v="16"/>
    <n v="160"/>
    <n v="0.04"/>
    <x v="7"/>
  </r>
  <r>
    <s v="EMP-ID-671"/>
    <x v="1"/>
    <x v="0"/>
    <x v="0"/>
    <n v="14"/>
    <n v="80"/>
    <n v="1120"/>
    <n v="0.11"/>
    <x v="8"/>
  </r>
  <r>
    <s v="EMP-ID-672"/>
    <x v="1"/>
    <x v="0"/>
    <x v="1"/>
    <n v="4"/>
    <n v="40"/>
    <n v="160"/>
    <n v="0.06"/>
    <x v="9"/>
  </r>
  <r>
    <s v="EMP-ID-673"/>
    <x v="2"/>
    <x v="0"/>
    <x v="1"/>
    <n v="11"/>
    <n v="40"/>
    <n v="440"/>
    <n v="0.05"/>
    <x v="6"/>
  </r>
  <r>
    <s v="EMP-ID-674"/>
    <x v="2"/>
    <x v="0"/>
    <x v="3"/>
    <n v="14"/>
    <n v="16"/>
    <n v="224"/>
    <n v="0.01"/>
    <x v="7"/>
  </r>
  <r>
    <s v="EMP-ID-675"/>
    <x v="0"/>
    <x v="0"/>
    <x v="4"/>
    <n v="20"/>
    <n v="150"/>
    <n v="3000"/>
    <n v="0.04"/>
    <x v="8"/>
  </r>
  <r>
    <s v="EMP-ID-676"/>
    <x v="3"/>
    <x v="0"/>
    <x v="1"/>
    <n v="9"/>
    <n v="40"/>
    <n v="360"/>
    <n v="0.06"/>
    <x v="9"/>
  </r>
  <r>
    <s v="EMP-ID-677"/>
    <x v="2"/>
    <x v="0"/>
    <x v="4"/>
    <n v="18"/>
    <n v="150"/>
    <n v="2700"/>
    <n v="0.06"/>
    <x v="6"/>
  </r>
  <r>
    <s v="EMP-ID-678"/>
    <x v="4"/>
    <x v="0"/>
    <x v="2"/>
    <n v="17"/>
    <n v="230"/>
    <n v="3910"/>
    <n v="0.11"/>
    <x v="7"/>
  </r>
  <r>
    <s v="EMP-ID-679"/>
    <x v="0"/>
    <x v="1"/>
    <x v="1"/>
    <n v="20"/>
    <n v="40"/>
    <n v="800"/>
    <n v="0.04"/>
    <x v="8"/>
  </r>
  <r>
    <s v="EMP-ID-680"/>
    <x v="0"/>
    <x v="1"/>
    <x v="1"/>
    <n v="23"/>
    <n v="40"/>
    <n v="920"/>
    <n v="0.03"/>
    <x v="9"/>
  </r>
  <r>
    <s v="EMP-ID-681"/>
    <x v="4"/>
    <x v="1"/>
    <x v="2"/>
    <n v="21"/>
    <n v="230"/>
    <n v="4830"/>
    <n v="0.05"/>
    <x v="6"/>
  </r>
  <r>
    <s v="EMP-ID-682"/>
    <x v="2"/>
    <x v="1"/>
    <x v="0"/>
    <n v="6"/>
    <n v="80"/>
    <n v="480"/>
    <n v="0.09"/>
    <x v="7"/>
  </r>
  <r>
    <s v="EMP-ID-683"/>
    <x v="0"/>
    <x v="1"/>
    <x v="3"/>
    <n v="20"/>
    <n v="16"/>
    <n v="320"/>
    <n v="0.01"/>
    <x v="8"/>
  </r>
  <r>
    <s v="EMP-ID-684"/>
    <x v="1"/>
    <x v="1"/>
    <x v="1"/>
    <n v="8"/>
    <n v="40"/>
    <n v="320"/>
    <n v="0.09"/>
    <x v="9"/>
  </r>
  <r>
    <s v="EMP-ID-685"/>
    <x v="1"/>
    <x v="1"/>
    <x v="2"/>
    <n v="15"/>
    <n v="230"/>
    <n v="3450"/>
    <n v="0.09"/>
    <x v="6"/>
  </r>
  <r>
    <s v="EMP-ID-686"/>
    <x v="3"/>
    <x v="2"/>
    <x v="0"/>
    <n v="21"/>
    <n v="80"/>
    <n v="1680"/>
    <n v="0.02"/>
    <x v="7"/>
  </r>
  <r>
    <s v="EMP-ID-687"/>
    <x v="3"/>
    <x v="2"/>
    <x v="0"/>
    <n v="19"/>
    <n v="80"/>
    <n v="1520"/>
    <n v="0.02"/>
    <x v="8"/>
  </r>
  <r>
    <s v="EMP-ID-688"/>
    <x v="0"/>
    <x v="2"/>
    <x v="3"/>
    <n v="7"/>
    <n v="16"/>
    <n v="112"/>
    <n v="0.08"/>
    <x v="9"/>
  </r>
  <r>
    <s v="EMP-ID-689"/>
    <x v="4"/>
    <x v="2"/>
    <x v="1"/>
    <n v="11"/>
    <n v="40"/>
    <n v="440"/>
    <n v="0.05"/>
    <x v="6"/>
  </r>
  <r>
    <s v="EMP-ID-690"/>
    <x v="3"/>
    <x v="2"/>
    <x v="2"/>
    <n v="8"/>
    <n v="230"/>
    <n v="1840"/>
    <n v="0.05"/>
    <x v="7"/>
  </r>
  <r>
    <s v="EMP-ID-691"/>
    <x v="0"/>
    <x v="2"/>
    <x v="0"/>
    <n v="18"/>
    <n v="80"/>
    <n v="1440"/>
    <n v="0.02"/>
    <x v="8"/>
  </r>
  <r>
    <s v="EMP-ID-692"/>
    <x v="0"/>
    <x v="2"/>
    <x v="1"/>
    <n v="7"/>
    <n v="40"/>
    <n v="280"/>
    <n v="0.1"/>
    <x v="9"/>
  </r>
  <r>
    <s v="EMP-ID-693"/>
    <x v="0"/>
    <x v="3"/>
    <x v="3"/>
    <n v="16"/>
    <n v="16"/>
    <n v="256"/>
    <n v="0.03"/>
    <x v="6"/>
  </r>
  <r>
    <s v="EMP-ID-694"/>
    <x v="0"/>
    <x v="3"/>
    <x v="0"/>
    <n v="8"/>
    <n v="80"/>
    <n v="640"/>
    <n v="0.08"/>
    <x v="7"/>
  </r>
  <r>
    <s v="EMP-ID-695"/>
    <x v="4"/>
    <x v="3"/>
    <x v="2"/>
    <n v="22"/>
    <n v="230"/>
    <n v="5060"/>
    <n v="0.1"/>
    <x v="8"/>
  </r>
  <r>
    <s v="EMP-ID-696"/>
    <x v="4"/>
    <x v="3"/>
    <x v="2"/>
    <n v="3"/>
    <n v="230"/>
    <n v="690"/>
    <n v="0.1"/>
    <x v="9"/>
  </r>
  <r>
    <s v="EMP-ID-697"/>
    <x v="4"/>
    <x v="3"/>
    <x v="2"/>
    <n v="20"/>
    <n v="230"/>
    <n v="4600"/>
    <n v="0.11"/>
    <x v="6"/>
  </r>
  <r>
    <s v="EMP-ID-698"/>
    <x v="2"/>
    <x v="3"/>
    <x v="3"/>
    <n v="12"/>
    <n v="16"/>
    <n v="192"/>
    <n v="0.03"/>
    <x v="7"/>
  </r>
  <r>
    <s v="EMP-ID-699"/>
    <x v="4"/>
    <x v="3"/>
    <x v="1"/>
    <n v="20"/>
    <n v="40"/>
    <n v="800"/>
    <n v="7.0000000000000007E-2"/>
    <x v="8"/>
  </r>
  <r>
    <s v="EMP-ID-700"/>
    <x v="0"/>
    <x v="3"/>
    <x v="2"/>
    <n v="3"/>
    <n v="230"/>
    <n v="690"/>
    <n v="0.06"/>
    <x v="9"/>
  </r>
  <r>
    <s v="EMP-ID-701"/>
    <x v="3"/>
    <x v="3"/>
    <x v="0"/>
    <n v="16"/>
    <n v="80"/>
    <n v="1280"/>
    <n v="7.0000000000000007E-2"/>
    <x v="6"/>
  </r>
  <r>
    <s v="EMP-ID-702"/>
    <x v="4"/>
    <x v="4"/>
    <x v="1"/>
    <n v="3"/>
    <n v="40"/>
    <n v="120"/>
    <n v="0.03"/>
    <x v="7"/>
  </r>
  <r>
    <s v="EMP-ID-703"/>
    <x v="2"/>
    <x v="4"/>
    <x v="2"/>
    <n v="12"/>
    <n v="230"/>
    <n v="2760"/>
    <n v="0.03"/>
    <x v="8"/>
  </r>
  <r>
    <s v="EMP-ID-704"/>
    <x v="3"/>
    <x v="4"/>
    <x v="1"/>
    <n v="22"/>
    <n v="40"/>
    <n v="880"/>
    <n v="0.01"/>
    <x v="9"/>
  </r>
  <r>
    <s v="EMP-ID-705"/>
    <x v="1"/>
    <x v="4"/>
    <x v="1"/>
    <n v="19"/>
    <n v="40"/>
    <n v="760"/>
    <n v="0.1"/>
    <x v="6"/>
  </r>
  <r>
    <s v="EMP-ID-706"/>
    <x v="1"/>
    <x v="4"/>
    <x v="0"/>
    <n v="21"/>
    <n v="80"/>
    <n v="1680"/>
    <n v="0.04"/>
    <x v="7"/>
  </r>
  <r>
    <s v="EMP-ID-707"/>
    <x v="1"/>
    <x v="4"/>
    <x v="0"/>
    <n v="2"/>
    <n v="80"/>
    <n v="160"/>
    <n v="0.04"/>
    <x v="8"/>
  </r>
  <r>
    <s v="EMP-ID-708"/>
    <x v="1"/>
    <x v="4"/>
    <x v="4"/>
    <n v="15"/>
    <n v="150"/>
    <n v="2250"/>
    <n v="0.02"/>
    <x v="9"/>
  </r>
  <r>
    <s v="EMP-ID-709"/>
    <x v="1"/>
    <x v="5"/>
    <x v="1"/>
    <n v="14"/>
    <n v="40"/>
    <n v="560"/>
    <n v="0.06"/>
    <x v="6"/>
  </r>
  <r>
    <s v="EMP-ID-710"/>
    <x v="3"/>
    <x v="5"/>
    <x v="0"/>
    <n v="7"/>
    <n v="80"/>
    <n v="560"/>
    <n v="7.0000000000000007E-2"/>
    <x v="7"/>
  </r>
  <r>
    <s v="EMP-ID-711"/>
    <x v="2"/>
    <x v="5"/>
    <x v="0"/>
    <n v="7"/>
    <n v="80"/>
    <n v="560"/>
    <n v="0.05"/>
    <x v="8"/>
  </r>
  <r>
    <s v="EMP-ID-712"/>
    <x v="1"/>
    <x v="5"/>
    <x v="4"/>
    <n v="10"/>
    <n v="150"/>
    <n v="1500"/>
    <n v="0.01"/>
    <x v="9"/>
  </r>
  <r>
    <s v="EMP-ID-713"/>
    <x v="2"/>
    <x v="5"/>
    <x v="0"/>
    <n v="10"/>
    <n v="80"/>
    <n v="800"/>
    <n v="0.08"/>
    <x v="6"/>
  </r>
  <r>
    <s v="EMP-ID-714"/>
    <x v="3"/>
    <x v="5"/>
    <x v="0"/>
    <n v="15"/>
    <n v="80"/>
    <n v="1200"/>
    <n v="0.08"/>
    <x v="7"/>
  </r>
  <r>
    <s v="EMP-ID-715"/>
    <x v="3"/>
    <x v="5"/>
    <x v="2"/>
    <n v="18"/>
    <n v="230"/>
    <n v="4140"/>
    <n v="0.01"/>
    <x v="8"/>
  </r>
  <r>
    <s v="EMP-ID-716"/>
    <x v="0"/>
    <x v="5"/>
    <x v="0"/>
    <n v="8"/>
    <n v="80"/>
    <n v="640"/>
    <n v="0.09"/>
    <x v="9"/>
  </r>
  <r>
    <s v="EMP-ID-717"/>
    <x v="2"/>
    <x v="5"/>
    <x v="3"/>
    <n v="6"/>
    <n v="16"/>
    <n v="96"/>
    <n v="0.01"/>
    <x v="6"/>
  </r>
  <r>
    <s v="EMP-ID-718"/>
    <x v="1"/>
    <x v="5"/>
    <x v="2"/>
    <n v="9"/>
    <n v="230"/>
    <n v="2070"/>
    <n v="0.03"/>
    <x v="7"/>
  </r>
  <r>
    <s v="EMP-ID-719"/>
    <x v="3"/>
    <x v="6"/>
    <x v="1"/>
    <n v="15"/>
    <n v="40"/>
    <n v="600"/>
    <n v="0.03"/>
    <x v="8"/>
  </r>
  <r>
    <s v="EMP-ID-720"/>
    <x v="1"/>
    <x v="6"/>
    <x v="1"/>
    <n v="15"/>
    <n v="40"/>
    <n v="600"/>
    <n v="0.04"/>
    <x v="9"/>
  </r>
  <r>
    <s v="EMP-ID-721"/>
    <x v="4"/>
    <x v="6"/>
    <x v="3"/>
    <n v="11"/>
    <n v="16"/>
    <n v="176"/>
    <n v="0.12"/>
    <x v="6"/>
  </r>
  <r>
    <s v="EMP-ID-722"/>
    <x v="0"/>
    <x v="6"/>
    <x v="3"/>
    <n v="12"/>
    <n v="16"/>
    <n v="192"/>
    <n v="0.11"/>
    <x v="2"/>
  </r>
  <r>
    <s v="EMP-ID-723"/>
    <x v="3"/>
    <x v="6"/>
    <x v="3"/>
    <n v="18"/>
    <n v="16"/>
    <n v="288"/>
    <n v="0.04"/>
    <x v="8"/>
  </r>
  <r>
    <s v="EMP-ID-724"/>
    <x v="2"/>
    <x v="6"/>
    <x v="1"/>
    <n v="20"/>
    <n v="40"/>
    <n v="800"/>
    <n v="0.01"/>
    <x v="2"/>
  </r>
  <r>
    <s v="EMP-ID-725"/>
    <x v="4"/>
    <x v="6"/>
    <x v="4"/>
    <n v="7"/>
    <n v="150"/>
    <n v="1050"/>
    <n v="0.03"/>
    <x v="8"/>
  </r>
  <r>
    <s v="EMP-ID-726"/>
    <x v="3"/>
    <x v="6"/>
    <x v="1"/>
    <n v="23"/>
    <n v="40"/>
    <n v="920"/>
    <n v="0.06"/>
    <x v="2"/>
  </r>
  <r>
    <s v="EMP-ID-727"/>
    <x v="0"/>
    <x v="6"/>
    <x v="0"/>
    <n v="7"/>
    <n v="80"/>
    <n v="560"/>
    <n v="0.02"/>
    <x v="8"/>
  </r>
  <r>
    <s v="EMP-ID-728"/>
    <x v="1"/>
    <x v="6"/>
    <x v="4"/>
    <n v="16"/>
    <n v="150"/>
    <n v="2400"/>
    <n v="0.05"/>
    <x v="2"/>
  </r>
  <r>
    <s v="EMP-ID-729"/>
    <x v="1"/>
    <x v="6"/>
    <x v="2"/>
    <n v="6"/>
    <n v="230"/>
    <n v="1380"/>
    <n v="0.1"/>
    <x v="8"/>
  </r>
  <r>
    <s v="EMP-ID-730"/>
    <x v="4"/>
    <x v="7"/>
    <x v="1"/>
    <n v="7"/>
    <n v="40"/>
    <n v="280"/>
    <n v="0.12"/>
    <x v="2"/>
  </r>
  <r>
    <s v="EMP-ID-731"/>
    <x v="2"/>
    <x v="7"/>
    <x v="0"/>
    <n v="23"/>
    <n v="80"/>
    <n v="1840"/>
    <n v="0.05"/>
    <x v="8"/>
  </r>
  <r>
    <s v="EMP-ID-732"/>
    <x v="3"/>
    <x v="7"/>
    <x v="0"/>
    <n v="16"/>
    <n v="80"/>
    <n v="1280"/>
    <n v="0.1"/>
    <x v="2"/>
  </r>
  <r>
    <s v="EMP-ID-733"/>
    <x v="0"/>
    <x v="7"/>
    <x v="0"/>
    <n v="16"/>
    <n v="80"/>
    <n v="1280"/>
    <n v="0.03"/>
    <x v="8"/>
  </r>
  <r>
    <s v="EMP-ID-734"/>
    <x v="4"/>
    <x v="7"/>
    <x v="0"/>
    <n v="22"/>
    <n v="80"/>
    <n v="1760"/>
    <n v="0.09"/>
    <x v="2"/>
  </r>
  <r>
    <s v="EMP-ID-735"/>
    <x v="0"/>
    <x v="7"/>
    <x v="3"/>
    <n v="18"/>
    <n v="16"/>
    <n v="288"/>
    <n v="0.05"/>
    <x v="8"/>
  </r>
  <r>
    <s v="EMP-ID-736"/>
    <x v="4"/>
    <x v="7"/>
    <x v="2"/>
    <n v="5"/>
    <n v="230"/>
    <n v="1150"/>
    <n v="0.12"/>
    <x v="2"/>
  </r>
  <r>
    <s v="EMP-ID-737"/>
    <x v="4"/>
    <x v="7"/>
    <x v="4"/>
    <n v="7"/>
    <n v="150"/>
    <n v="1050"/>
    <n v="0.02"/>
    <x v="8"/>
  </r>
  <r>
    <s v="EMP-ID-738"/>
    <x v="2"/>
    <x v="7"/>
    <x v="1"/>
    <n v="2"/>
    <n v="40"/>
    <n v="80"/>
    <n v="0.03"/>
    <x v="2"/>
  </r>
  <r>
    <s v="EMP-ID-739"/>
    <x v="3"/>
    <x v="7"/>
    <x v="1"/>
    <n v="11"/>
    <n v="40"/>
    <n v="440"/>
    <n v="0.06"/>
    <x v="8"/>
  </r>
  <r>
    <s v="EMP-ID-740"/>
    <x v="3"/>
    <x v="7"/>
    <x v="0"/>
    <n v="7"/>
    <n v="80"/>
    <n v="560"/>
    <n v="0.02"/>
    <x v="2"/>
  </r>
  <r>
    <s v="EMP-ID-741"/>
    <x v="2"/>
    <x v="8"/>
    <x v="1"/>
    <n v="4"/>
    <n v="40"/>
    <n v="160"/>
    <n v="0.11"/>
    <x v="8"/>
  </r>
  <r>
    <s v="EMP-ID-742"/>
    <x v="2"/>
    <x v="8"/>
    <x v="1"/>
    <n v="2"/>
    <n v="40"/>
    <n v="80"/>
    <n v="0.02"/>
    <x v="2"/>
  </r>
  <r>
    <s v="EMP-ID-743"/>
    <x v="3"/>
    <x v="8"/>
    <x v="2"/>
    <n v="23"/>
    <n v="230"/>
    <n v="5290"/>
    <n v="0.06"/>
    <x v="8"/>
  </r>
  <r>
    <s v="EMP-ID-744"/>
    <x v="4"/>
    <x v="8"/>
    <x v="0"/>
    <n v="21"/>
    <n v="80"/>
    <n v="1680"/>
    <n v="0.09"/>
    <x v="2"/>
  </r>
  <r>
    <s v="EMP-ID-745"/>
    <x v="4"/>
    <x v="8"/>
    <x v="0"/>
    <n v="9"/>
    <n v="80"/>
    <n v="720"/>
    <n v="0.06"/>
    <x v="8"/>
  </r>
  <r>
    <s v="EMP-ID-746"/>
    <x v="4"/>
    <x v="8"/>
    <x v="0"/>
    <n v="22"/>
    <n v="80"/>
    <n v="1760"/>
    <n v="0.11"/>
    <x v="2"/>
  </r>
  <r>
    <s v="EMP-ID-747"/>
    <x v="2"/>
    <x v="9"/>
    <x v="2"/>
    <n v="15"/>
    <n v="230"/>
    <n v="3450"/>
    <n v="0.11"/>
    <x v="8"/>
  </r>
  <r>
    <s v="EMP-ID-748"/>
    <x v="1"/>
    <x v="9"/>
    <x v="1"/>
    <n v="7"/>
    <n v="40"/>
    <n v="280"/>
    <n v="0.01"/>
    <x v="2"/>
  </r>
  <r>
    <s v="EMP-ID-749"/>
    <x v="4"/>
    <x v="9"/>
    <x v="4"/>
    <n v="17"/>
    <n v="150"/>
    <n v="2550"/>
    <n v="0.02"/>
    <x v="8"/>
  </r>
  <r>
    <s v="EMP-ID-750"/>
    <x v="1"/>
    <x v="9"/>
    <x v="4"/>
    <n v="22"/>
    <n v="150"/>
    <n v="3300"/>
    <n v="0.02"/>
    <x v="2"/>
  </r>
  <r>
    <s v="EMP-ID-751"/>
    <x v="2"/>
    <x v="9"/>
    <x v="2"/>
    <n v="10"/>
    <n v="230"/>
    <n v="2300"/>
    <n v="0.02"/>
    <x v="8"/>
  </r>
  <r>
    <s v="EMP-ID-752"/>
    <x v="4"/>
    <x v="9"/>
    <x v="1"/>
    <n v="21"/>
    <n v="40"/>
    <n v="840"/>
    <n v="0.01"/>
    <x v="2"/>
  </r>
  <r>
    <s v="EMP-ID-753"/>
    <x v="2"/>
    <x v="9"/>
    <x v="2"/>
    <n v="5"/>
    <n v="230"/>
    <n v="1150"/>
    <n v="0.1"/>
    <x v="8"/>
  </r>
  <r>
    <s v="EMP-ID-754"/>
    <x v="4"/>
    <x v="9"/>
    <x v="2"/>
    <n v="13"/>
    <n v="230"/>
    <n v="2990"/>
    <n v="0.06"/>
    <x v="2"/>
  </r>
  <r>
    <s v="EMP-ID-755"/>
    <x v="0"/>
    <x v="9"/>
    <x v="4"/>
    <n v="23"/>
    <n v="150"/>
    <n v="3450"/>
    <n v="0.1"/>
    <x v="8"/>
  </r>
  <r>
    <s v="EMP-ID-756"/>
    <x v="0"/>
    <x v="9"/>
    <x v="4"/>
    <n v="20"/>
    <n v="150"/>
    <n v="3000"/>
    <n v="0.03"/>
    <x v="2"/>
  </r>
  <r>
    <s v="EMP-ID-757"/>
    <x v="0"/>
    <x v="10"/>
    <x v="2"/>
    <n v="3"/>
    <n v="230"/>
    <n v="690"/>
    <n v="0.11"/>
    <x v="8"/>
  </r>
  <r>
    <s v="EMP-ID-758"/>
    <x v="1"/>
    <x v="10"/>
    <x v="4"/>
    <n v="16"/>
    <n v="150"/>
    <n v="2400"/>
    <n v="0.08"/>
    <x v="2"/>
  </r>
  <r>
    <s v="EMP-ID-759"/>
    <x v="4"/>
    <x v="10"/>
    <x v="3"/>
    <n v="14"/>
    <n v="16"/>
    <n v="224"/>
    <n v="0.06"/>
    <x v="8"/>
  </r>
  <r>
    <s v="EMP-ID-760"/>
    <x v="1"/>
    <x v="10"/>
    <x v="4"/>
    <n v="16"/>
    <n v="150"/>
    <n v="2400"/>
    <n v="0.03"/>
    <x v="2"/>
  </r>
  <r>
    <s v="EMP-ID-761"/>
    <x v="4"/>
    <x v="10"/>
    <x v="3"/>
    <n v="19"/>
    <n v="16"/>
    <n v="304"/>
    <n v="0.02"/>
    <x v="8"/>
  </r>
  <r>
    <s v="EMP-ID-762"/>
    <x v="4"/>
    <x v="10"/>
    <x v="0"/>
    <n v="6"/>
    <n v="80"/>
    <n v="480"/>
    <n v="0.09"/>
    <x v="2"/>
  </r>
  <r>
    <s v="EMP-ID-763"/>
    <x v="4"/>
    <x v="10"/>
    <x v="0"/>
    <n v="9"/>
    <n v="80"/>
    <n v="720"/>
    <n v="7.0000000000000007E-2"/>
    <x v="8"/>
  </r>
  <r>
    <s v="EMP-ID-764"/>
    <x v="1"/>
    <x v="10"/>
    <x v="4"/>
    <n v="20"/>
    <n v="150"/>
    <n v="3000"/>
    <n v="0.09"/>
    <x v="2"/>
  </r>
  <r>
    <s v="EMP-ID-765"/>
    <x v="2"/>
    <x v="10"/>
    <x v="0"/>
    <n v="10"/>
    <n v="80"/>
    <n v="800"/>
    <n v="0.11"/>
    <x v="8"/>
  </r>
  <r>
    <s v="EMP-ID-766"/>
    <x v="0"/>
    <x v="10"/>
    <x v="3"/>
    <n v="4"/>
    <n v="16"/>
    <n v="64"/>
    <n v="0.12"/>
    <x v="2"/>
  </r>
  <r>
    <s v="EMP-ID-767"/>
    <x v="4"/>
    <x v="10"/>
    <x v="1"/>
    <n v="16"/>
    <n v="40"/>
    <n v="640"/>
    <n v="0.11"/>
    <x v="8"/>
  </r>
  <r>
    <s v="EMP-ID-768"/>
    <x v="1"/>
    <x v="11"/>
    <x v="0"/>
    <n v="5"/>
    <n v="80"/>
    <n v="400"/>
    <n v="0.04"/>
    <x v="2"/>
  </r>
  <r>
    <s v="EMP-ID-769"/>
    <x v="2"/>
    <x v="11"/>
    <x v="3"/>
    <n v="11"/>
    <n v="16"/>
    <n v="176"/>
    <n v="0.04"/>
    <x v="8"/>
  </r>
  <r>
    <s v="EMP-ID-770"/>
    <x v="0"/>
    <x v="11"/>
    <x v="4"/>
    <n v="17"/>
    <n v="150"/>
    <n v="2550"/>
    <n v="0.12"/>
    <x v="2"/>
  </r>
  <r>
    <s v="EMP-ID-771"/>
    <x v="1"/>
    <x v="11"/>
    <x v="2"/>
    <n v="19"/>
    <n v="230"/>
    <n v="4370"/>
    <n v="0.11"/>
    <x v="8"/>
  </r>
  <r>
    <s v="EMP-ID-772"/>
    <x v="0"/>
    <x v="11"/>
    <x v="0"/>
    <n v="21"/>
    <n v="80"/>
    <n v="1680"/>
    <n v="0.04"/>
    <x v="2"/>
  </r>
  <r>
    <s v="EMP-ID-773"/>
    <x v="1"/>
    <x v="11"/>
    <x v="2"/>
    <n v="7"/>
    <n v="230"/>
    <n v="1610"/>
    <n v="0.01"/>
    <x v="8"/>
  </r>
  <r>
    <s v="EMP-ID-774"/>
    <x v="2"/>
    <x v="11"/>
    <x v="1"/>
    <n v="2"/>
    <n v="40"/>
    <n v="80"/>
    <n v="0.03"/>
    <x v="2"/>
  </r>
  <r>
    <s v="EMP-ID-775"/>
    <x v="0"/>
    <x v="11"/>
    <x v="4"/>
    <n v="7"/>
    <n v="150"/>
    <n v="1050"/>
    <n v="0.02"/>
    <x v="8"/>
  </r>
  <r>
    <s v="EMP-ID-776"/>
    <x v="2"/>
    <x v="12"/>
    <x v="0"/>
    <n v="16"/>
    <n v="80"/>
    <n v="1280"/>
    <n v="0.04"/>
    <x v="2"/>
  </r>
  <r>
    <s v="EMP-ID-777"/>
    <x v="1"/>
    <x v="12"/>
    <x v="1"/>
    <n v="4"/>
    <n v="40"/>
    <n v="160"/>
    <n v="0.12"/>
    <x v="8"/>
  </r>
  <r>
    <s v="EMP-ID-778"/>
    <x v="0"/>
    <x v="12"/>
    <x v="3"/>
    <n v="22"/>
    <n v="16"/>
    <n v="352"/>
    <n v="0.01"/>
    <x v="2"/>
  </r>
  <r>
    <s v="EMP-ID-779"/>
    <x v="3"/>
    <x v="12"/>
    <x v="1"/>
    <n v="18"/>
    <n v="40"/>
    <n v="720"/>
    <n v="0.06"/>
    <x v="8"/>
  </r>
  <r>
    <s v="EMP-ID-780"/>
    <x v="2"/>
    <x v="12"/>
    <x v="0"/>
    <n v="6"/>
    <n v="80"/>
    <n v="480"/>
    <n v="0.01"/>
    <x v="2"/>
  </r>
  <r>
    <s v="EMP-ID-781"/>
    <x v="2"/>
    <x v="12"/>
    <x v="2"/>
    <n v="2"/>
    <n v="230"/>
    <n v="460"/>
    <n v="0.09"/>
    <x v="8"/>
  </r>
  <r>
    <s v="EMP-ID-782"/>
    <x v="4"/>
    <x v="13"/>
    <x v="4"/>
    <n v="11"/>
    <n v="150"/>
    <n v="1650"/>
    <n v="0.09"/>
    <x v="2"/>
  </r>
  <r>
    <s v="EMP-ID-783"/>
    <x v="3"/>
    <x v="13"/>
    <x v="4"/>
    <n v="15"/>
    <n v="150"/>
    <n v="2250"/>
    <n v="0.08"/>
    <x v="8"/>
  </r>
  <r>
    <s v="EMP-ID-784"/>
    <x v="0"/>
    <x v="13"/>
    <x v="0"/>
    <n v="17"/>
    <n v="80"/>
    <n v="1360"/>
    <n v="0.09"/>
    <x v="2"/>
  </r>
  <r>
    <s v="EMP-ID-785"/>
    <x v="4"/>
    <x v="13"/>
    <x v="4"/>
    <n v="13"/>
    <n v="150"/>
    <n v="1950"/>
    <n v="0.11"/>
    <x v="8"/>
  </r>
  <r>
    <s v="EMP-ID-786"/>
    <x v="3"/>
    <x v="13"/>
    <x v="1"/>
    <n v="7"/>
    <n v="40"/>
    <n v="280"/>
    <n v="7.0000000000000007E-2"/>
    <x v="2"/>
  </r>
  <r>
    <s v="EMP-ID-787"/>
    <x v="3"/>
    <x v="13"/>
    <x v="2"/>
    <n v="3"/>
    <n v="230"/>
    <n v="690"/>
    <n v="0.01"/>
    <x v="8"/>
  </r>
  <r>
    <s v="EMP-ID-788"/>
    <x v="2"/>
    <x v="13"/>
    <x v="1"/>
    <n v="12"/>
    <n v="40"/>
    <n v="480"/>
    <n v="0.02"/>
    <x v="2"/>
  </r>
  <r>
    <s v="EMP-ID-789"/>
    <x v="2"/>
    <x v="13"/>
    <x v="4"/>
    <n v="11"/>
    <n v="150"/>
    <n v="1650"/>
    <n v="0.11"/>
    <x v="8"/>
  </r>
  <r>
    <s v="EMP-ID-790"/>
    <x v="1"/>
    <x v="13"/>
    <x v="1"/>
    <n v="21"/>
    <n v="40"/>
    <n v="840"/>
    <n v="0.03"/>
    <x v="2"/>
  </r>
  <r>
    <s v="EMP-ID-791"/>
    <x v="0"/>
    <x v="13"/>
    <x v="4"/>
    <n v="22"/>
    <n v="150"/>
    <n v="3300"/>
    <n v="7.0000000000000007E-2"/>
    <x v="8"/>
  </r>
  <r>
    <s v="EMP-ID-792"/>
    <x v="2"/>
    <x v="13"/>
    <x v="1"/>
    <n v="20"/>
    <n v="40"/>
    <n v="800"/>
    <n v="0.01"/>
    <x v="2"/>
  </r>
  <r>
    <s v="EMP-ID-793"/>
    <x v="4"/>
    <x v="14"/>
    <x v="3"/>
    <n v="22"/>
    <n v="16"/>
    <n v="352"/>
    <n v="0.12"/>
    <x v="8"/>
  </r>
  <r>
    <s v="EMP-ID-794"/>
    <x v="2"/>
    <x v="14"/>
    <x v="1"/>
    <n v="4"/>
    <n v="40"/>
    <n v="160"/>
    <n v="0.1"/>
    <x v="2"/>
  </r>
  <r>
    <s v="EMP-ID-795"/>
    <x v="3"/>
    <x v="14"/>
    <x v="2"/>
    <n v="2"/>
    <n v="230"/>
    <n v="460"/>
    <n v="0.09"/>
    <x v="8"/>
  </r>
  <r>
    <s v="EMP-ID-796"/>
    <x v="0"/>
    <x v="14"/>
    <x v="1"/>
    <n v="22"/>
    <n v="40"/>
    <n v="880"/>
    <n v="0.02"/>
    <x v="2"/>
  </r>
  <r>
    <s v="EMP-ID-797"/>
    <x v="1"/>
    <x v="14"/>
    <x v="1"/>
    <n v="4"/>
    <n v="40"/>
    <n v="160"/>
    <n v="0.03"/>
    <x v="8"/>
  </r>
  <r>
    <s v="EMP-ID-798"/>
    <x v="1"/>
    <x v="14"/>
    <x v="3"/>
    <n v="5"/>
    <n v="16"/>
    <n v="80"/>
    <n v="0.11"/>
    <x v="2"/>
  </r>
  <r>
    <s v="EMP-ID-799"/>
    <x v="3"/>
    <x v="14"/>
    <x v="0"/>
    <n v="2"/>
    <n v="80"/>
    <n v="160"/>
    <n v="0.08"/>
    <x v="8"/>
  </r>
  <r>
    <s v="EMP-ID-800"/>
    <x v="2"/>
    <x v="14"/>
    <x v="3"/>
    <n v="9"/>
    <n v="16"/>
    <n v="144"/>
    <n v="0.05"/>
    <x v="2"/>
  </r>
  <r>
    <s v="EMP-ID-801"/>
    <x v="2"/>
    <x v="14"/>
    <x v="2"/>
    <n v="6"/>
    <n v="230"/>
    <n v="1380"/>
    <n v="0.05"/>
    <x v="8"/>
  </r>
  <r>
    <s v="EMP-ID-802"/>
    <x v="3"/>
    <x v="14"/>
    <x v="4"/>
    <n v="22"/>
    <n v="150"/>
    <n v="3300"/>
    <n v="0.05"/>
    <x v="2"/>
  </r>
  <r>
    <s v="EMP-ID-803"/>
    <x v="3"/>
    <x v="15"/>
    <x v="2"/>
    <n v="8"/>
    <n v="230"/>
    <n v="1840"/>
    <n v="0.01"/>
    <x v="8"/>
  </r>
  <r>
    <s v="EMP-ID-804"/>
    <x v="0"/>
    <x v="15"/>
    <x v="4"/>
    <n v="22"/>
    <n v="150"/>
    <n v="3300"/>
    <n v="0.05"/>
    <x v="2"/>
  </r>
  <r>
    <s v="EMP-ID-805"/>
    <x v="0"/>
    <x v="15"/>
    <x v="1"/>
    <n v="5"/>
    <n v="40"/>
    <n v="200"/>
    <n v="0.06"/>
    <x v="8"/>
  </r>
  <r>
    <s v="EMP-ID-806"/>
    <x v="3"/>
    <x v="15"/>
    <x v="4"/>
    <n v="20"/>
    <n v="150"/>
    <n v="3000"/>
    <n v="0.1"/>
    <x v="2"/>
  </r>
  <r>
    <s v="EMP-ID-807"/>
    <x v="3"/>
    <x v="15"/>
    <x v="0"/>
    <n v="22"/>
    <n v="80"/>
    <n v="1760"/>
    <n v="0.03"/>
    <x v="8"/>
  </r>
  <r>
    <s v="EMP-ID-808"/>
    <x v="0"/>
    <x v="15"/>
    <x v="3"/>
    <n v="11"/>
    <n v="16"/>
    <n v="176"/>
    <n v="0.09"/>
    <x v="2"/>
  </r>
  <r>
    <s v="EMP-ID-809"/>
    <x v="1"/>
    <x v="15"/>
    <x v="3"/>
    <n v="22"/>
    <n v="16"/>
    <n v="352"/>
    <n v="0.01"/>
    <x v="8"/>
  </r>
  <r>
    <s v="EMP-ID-810"/>
    <x v="1"/>
    <x v="15"/>
    <x v="1"/>
    <n v="23"/>
    <n v="40"/>
    <n v="920"/>
    <n v="0.06"/>
    <x v="2"/>
  </r>
  <r>
    <s v="EMP-ID-811"/>
    <x v="2"/>
    <x v="15"/>
    <x v="0"/>
    <n v="14"/>
    <n v="80"/>
    <n v="1120"/>
    <n v="0.1"/>
    <x v="8"/>
  </r>
  <r>
    <s v="EMP-ID-812"/>
    <x v="0"/>
    <x v="15"/>
    <x v="1"/>
    <n v="18"/>
    <n v="40"/>
    <n v="720"/>
    <n v="0.06"/>
    <x v="2"/>
  </r>
  <r>
    <s v="EMP-ID-813"/>
    <x v="3"/>
    <x v="16"/>
    <x v="4"/>
    <n v="7"/>
    <n v="150"/>
    <n v="1050"/>
    <n v="0.05"/>
    <x v="1"/>
  </r>
  <r>
    <s v="EMP-ID-814"/>
    <x v="3"/>
    <x v="16"/>
    <x v="1"/>
    <n v="15"/>
    <n v="40"/>
    <n v="600"/>
    <n v="0.03"/>
    <x v="2"/>
  </r>
  <r>
    <s v="EMP-ID-815"/>
    <x v="0"/>
    <x v="16"/>
    <x v="3"/>
    <n v="7"/>
    <n v="16"/>
    <n v="112"/>
    <n v="0.02"/>
    <x v="12"/>
  </r>
  <r>
    <s v="EMP-ID-816"/>
    <x v="3"/>
    <x v="16"/>
    <x v="3"/>
    <n v="15"/>
    <n v="16"/>
    <n v="240"/>
    <n v="0.12"/>
    <x v="4"/>
  </r>
  <r>
    <s v="EMP-ID-817"/>
    <x v="0"/>
    <x v="16"/>
    <x v="1"/>
    <n v="5"/>
    <n v="40"/>
    <n v="200"/>
    <n v="0.09"/>
    <x v="5"/>
  </r>
  <r>
    <s v="EMP-ID-818"/>
    <x v="4"/>
    <x v="16"/>
    <x v="1"/>
    <n v="20"/>
    <n v="40"/>
    <n v="800"/>
    <n v="0.03"/>
    <x v="6"/>
  </r>
  <r>
    <s v="EMP-ID-819"/>
    <x v="3"/>
    <x v="16"/>
    <x v="2"/>
    <n v="11"/>
    <n v="230"/>
    <n v="2530"/>
    <n v="0.12"/>
    <x v="7"/>
  </r>
  <r>
    <s v="EMP-ID-820"/>
    <x v="4"/>
    <x v="16"/>
    <x v="3"/>
    <n v="17"/>
    <n v="16"/>
    <n v="272"/>
    <n v="0.08"/>
    <x v="8"/>
  </r>
  <r>
    <s v="EMP-ID-821"/>
    <x v="0"/>
    <x v="17"/>
    <x v="3"/>
    <n v="18"/>
    <n v="16"/>
    <n v="288"/>
    <n v="0.11"/>
    <x v="9"/>
  </r>
  <r>
    <s v="EMP-ID-822"/>
    <x v="3"/>
    <x v="17"/>
    <x v="2"/>
    <n v="2"/>
    <n v="230"/>
    <n v="460"/>
    <n v="0.08"/>
    <x v="10"/>
  </r>
  <r>
    <s v="EMP-ID-823"/>
    <x v="2"/>
    <x v="17"/>
    <x v="3"/>
    <n v="17"/>
    <n v="16"/>
    <n v="272"/>
    <n v="0.05"/>
    <x v="11"/>
  </r>
  <r>
    <s v="EMP-ID-824"/>
    <x v="3"/>
    <x v="17"/>
    <x v="0"/>
    <n v="16"/>
    <n v="80"/>
    <n v="1280"/>
    <n v="0.05"/>
    <x v="0"/>
  </r>
  <r>
    <s v="EMP-ID-825"/>
    <x v="1"/>
    <x v="17"/>
    <x v="2"/>
    <n v="14"/>
    <n v="230"/>
    <n v="3220"/>
    <n v="0.05"/>
    <x v="1"/>
  </r>
  <r>
    <s v="EMP-ID-826"/>
    <x v="2"/>
    <x v="17"/>
    <x v="1"/>
    <n v="13"/>
    <n v="40"/>
    <n v="520"/>
    <n v="0.02"/>
    <x v="2"/>
  </r>
  <r>
    <s v="EMP-ID-827"/>
    <x v="1"/>
    <x v="17"/>
    <x v="2"/>
    <n v="7"/>
    <n v="230"/>
    <n v="1610"/>
    <n v="0.08"/>
    <x v="12"/>
  </r>
  <r>
    <s v="EMP-ID-828"/>
    <x v="3"/>
    <x v="17"/>
    <x v="1"/>
    <n v="7"/>
    <n v="40"/>
    <n v="280"/>
    <n v="0.11"/>
    <x v="4"/>
  </r>
  <r>
    <s v="EMP-ID-829"/>
    <x v="2"/>
    <x v="17"/>
    <x v="2"/>
    <n v="12"/>
    <n v="230"/>
    <n v="2760"/>
    <n v="0.06"/>
    <x v="5"/>
  </r>
  <r>
    <s v="EMP-ID-830"/>
    <x v="0"/>
    <x v="17"/>
    <x v="1"/>
    <n v="19"/>
    <n v="40"/>
    <n v="760"/>
    <n v="0.04"/>
    <x v="1"/>
  </r>
  <r>
    <s v="EMP-ID-831"/>
    <x v="2"/>
    <x v="18"/>
    <x v="2"/>
    <n v="20"/>
    <n v="230"/>
    <n v="4600"/>
    <n v="0.06"/>
    <x v="2"/>
  </r>
  <r>
    <s v="EMP-ID-832"/>
    <x v="4"/>
    <x v="18"/>
    <x v="1"/>
    <n v="23"/>
    <n v="40"/>
    <n v="920"/>
    <n v="0.04"/>
    <x v="12"/>
  </r>
  <r>
    <s v="EMP-ID-833"/>
    <x v="4"/>
    <x v="18"/>
    <x v="0"/>
    <n v="16"/>
    <n v="80"/>
    <n v="1280"/>
    <n v="0.05"/>
    <x v="4"/>
  </r>
  <r>
    <s v="EMP-ID-834"/>
    <x v="1"/>
    <x v="18"/>
    <x v="4"/>
    <n v="23"/>
    <n v="150"/>
    <n v="3450"/>
    <n v="0.11"/>
    <x v="5"/>
  </r>
  <r>
    <s v="EMP-ID-835"/>
    <x v="1"/>
    <x v="18"/>
    <x v="3"/>
    <n v="4"/>
    <n v="16"/>
    <n v="64"/>
    <n v="7.0000000000000007E-2"/>
    <x v="6"/>
  </r>
  <r>
    <s v="EMP-ID-836"/>
    <x v="0"/>
    <x v="18"/>
    <x v="2"/>
    <n v="8"/>
    <n v="230"/>
    <n v="1840"/>
    <n v="0.03"/>
    <x v="7"/>
  </r>
  <r>
    <s v="EMP-ID-837"/>
    <x v="1"/>
    <x v="18"/>
    <x v="0"/>
    <n v="17"/>
    <n v="80"/>
    <n v="1360"/>
    <n v="0.03"/>
    <x v="8"/>
  </r>
  <r>
    <s v="EMP-ID-838"/>
    <x v="3"/>
    <x v="18"/>
    <x v="0"/>
    <n v="10"/>
    <n v="80"/>
    <n v="800"/>
    <n v="0.1"/>
    <x v="9"/>
  </r>
  <r>
    <s v="EMP-ID-839"/>
    <x v="0"/>
    <x v="18"/>
    <x v="3"/>
    <n v="20"/>
    <n v="16"/>
    <n v="320"/>
    <n v="0.11"/>
    <x v="10"/>
  </r>
  <r>
    <s v="EMP-ID-840"/>
    <x v="3"/>
    <x v="19"/>
    <x v="2"/>
    <n v="19"/>
    <n v="230"/>
    <n v="4370"/>
    <n v="0.06"/>
    <x v="11"/>
  </r>
  <r>
    <s v="EMP-ID-841"/>
    <x v="2"/>
    <x v="19"/>
    <x v="1"/>
    <n v="18"/>
    <n v="40"/>
    <n v="720"/>
    <n v="0.03"/>
    <x v="0"/>
  </r>
  <r>
    <s v="EMP-ID-842"/>
    <x v="1"/>
    <x v="19"/>
    <x v="0"/>
    <n v="16"/>
    <n v="80"/>
    <n v="1280"/>
    <n v="0.04"/>
    <x v="1"/>
  </r>
  <r>
    <s v="EMP-ID-843"/>
    <x v="3"/>
    <x v="19"/>
    <x v="0"/>
    <n v="8"/>
    <n v="80"/>
    <n v="640"/>
    <n v="0.06"/>
    <x v="2"/>
  </r>
  <r>
    <s v="EMP-ID-844"/>
    <x v="3"/>
    <x v="19"/>
    <x v="4"/>
    <n v="4"/>
    <n v="150"/>
    <n v="600"/>
    <n v="0.12"/>
    <x v="12"/>
  </r>
  <r>
    <s v="EMP-ID-845"/>
    <x v="2"/>
    <x v="19"/>
    <x v="2"/>
    <n v="15"/>
    <n v="230"/>
    <n v="3450"/>
    <n v="0.04"/>
    <x v="4"/>
  </r>
  <r>
    <s v="EMP-ID-846"/>
    <x v="1"/>
    <x v="20"/>
    <x v="3"/>
    <n v="7"/>
    <n v="16"/>
    <n v="112"/>
    <n v="0.08"/>
    <x v="5"/>
  </r>
  <r>
    <s v="EMP-ID-847"/>
    <x v="0"/>
    <x v="20"/>
    <x v="1"/>
    <n v="18"/>
    <n v="40"/>
    <n v="720"/>
    <n v="0.11"/>
    <x v="1"/>
  </r>
  <r>
    <s v="EMP-ID-848"/>
    <x v="2"/>
    <x v="20"/>
    <x v="1"/>
    <n v="4"/>
    <n v="40"/>
    <n v="160"/>
    <n v="0.06"/>
    <x v="2"/>
  </r>
  <r>
    <s v="EMP-ID-849"/>
    <x v="4"/>
    <x v="20"/>
    <x v="1"/>
    <n v="16"/>
    <n v="40"/>
    <n v="640"/>
    <n v="0.09"/>
    <x v="12"/>
  </r>
  <r>
    <s v="EMP-ID-850"/>
    <x v="1"/>
    <x v="20"/>
    <x v="1"/>
    <n v="18"/>
    <n v="40"/>
    <n v="720"/>
    <n v="0.08"/>
    <x v="4"/>
  </r>
  <r>
    <s v="EMP-ID-851"/>
    <x v="0"/>
    <x v="20"/>
    <x v="1"/>
    <n v="9"/>
    <n v="40"/>
    <n v="360"/>
    <n v="0.01"/>
    <x v="5"/>
  </r>
  <r>
    <s v="EMP-ID-852"/>
    <x v="3"/>
    <x v="20"/>
    <x v="2"/>
    <n v="16"/>
    <n v="230"/>
    <n v="3680"/>
    <n v="0.11"/>
    <x v="6"/>
  </r>
  <r>
    <s v="EMP-ID-853"/>
    <x v="2"/>
    <x v="20"/>
    <x v="3"/>
    <n v="12"/>
    <n v="16"/>
    <n v="192"/>
    <n v="0.11"/>
    <x v="7"/>
  </r>
  <r>
    <s v="EMP-ID-854"/>
    <x v="1"/>
    <x v="20"/>
    <x v="0"/>
    <n v="2"/>
    <n v="80"/>
    <n v="160"/>
    <n v="7.0000000000000007E-2"/>
    <x v="8"/>
  </r>
  <r>
    <s v="EMP-ID-855"/>
    <x v="0"/>
    <x v="20"/>
    <x v="1"/>
    <n v="2"/>
    <n v="40"/>
    <n v="80"/>
    <n v="0.12"/>
    <x v="9"/>
  </r>
  <r>
    <s v="EMP-ID-856"/>
    <x v="0"/>
    <x v="21"/>
    <x v="4"/>
    <n v="13"/>
    <n v="150"/>
    <n v="1950"/>
    <n v="0.05"/>
    <x v="10"/>
  </r>
  <r>
    <s v="EMP-ID-857"/>
    <x v="0"/>
    <x v="21"/>
    <x v="0"/>
    <n v="14"/>
    <n v="80"/>
    <n v="1120"/>
    <n v="0.08"/>
    <x v="11"/>
  </r>
  <r>
    <s v="EMP-ID-858"/>
    <x v="3"/>
    <x v="21"/>
    <x v="4"/>
    <n v="6"/>
    <n v="150"/>
    <n v="900"/>
    <n v="0.03"/>
    <x v="0"/>
  </r>
  <r>
    <s v="EMP-ID-859"/>
    <x v="3"/>
    <x v="21"/>
    <x v="0"/>
    <n v="23"/>
    <n v="80"/>
    <n v="1840"/>
    <n v="0.11"/>
    <x v="1"/>
  </r>
  <r>
    <s v="EMP-ID-860"/>
    <x v="3"/>
    <x v="21"/>
    <x v="0"/>
    <n v="21"/>
    <n v="80"/>
    <n v="1680"/>
    <n v="0.05"/>
    <x v="2"/>
  </r>
  <r>
    <s v="EMP-ID-861"/>
    <x v="2"/>
    <x v="21"/>
    <x v="3"/>
    <n v="3"/>
    <n v="16"/>
    <n v="48"/>
    <n v="0.05"/>
    <x v="12"/>
  </r>
  <r>
    <s v="EMP-ID-862"/>
    <x v="1"/>
    <x v="21"/>
    <x v="3"/>
    <n v="21"/>
    <n v="16"/>
    <n v="336"/>
    <n v="0.02"/>
    <x v="4"/>
  </r>
  <r>
    <s v="EMP-ID-863"/>
    <x v="3"/>
    <x v="21"/>
    <x v="0"/>
    <n v="4"/>
    <n v="80"/>
    <n v="320"/>
    <n v="0.11"/>
    <x v="5"/>
  </r>
  <r>
    <s v="EMP-ID-864"/>
    <x v="4"/>
    <x v="21"/>
    <x v="4"/>
    <n v="23"/>
    <n v="150"/>
    <n v="3450"/>
    <n v="0.08"/>
    <x v="1"/>
  </r>
  <r>
    <s v="EMP-ID-865"/>
    <x v="4"/>
    <x v="21"/>
    <x v="3"/>
    <n v="23"/>
    <n v="16"/>
    <n v="368"/>
    <n v="0.01"/>
    <x v="2"/>
  </r>
  <r>
    <s v="EMP-ID-866"/>
    <x v="3"/>
    <x v="21"/>
    <x v="1"/>
    <n v="22"/>
    <n v="40"/>
    <n v="880"/>
    <n v="0.01"/>
    <x v="12"/>
  </r>
  <r>
    <s v="EMP-ID-867"/>
    <x v="0"/>
    <x v="22"/>
    <x v="4"/>
    <n v="8"/>
    <n v="150"/>
    <n v="1200"/>
    <n v="0.09"/>
    <x v="4"/>
  </r>
  <r>
    <s v="EMP-ID-868"/>
    <x v="0"/>
    <x v="22"/>
    <x v="4"/>
    <n v="20"/>
    <n v="150"/>
    <n v="3000"/>
    <n v="0.01"/>
    <x v="5"/>
  </r>
  <r>
    <s v="EMP-ID-869"/>
    <x v="1"/>
    <x v="22"/>
    <x v="2"/>
    <n v="22"/>
    <n v="230"/>
    <n v="5060"/>
    <n v="0.11"/>
    <x v="6"/>
  </r>
  <r>
    <s v="EMP-ID-870"/>
    <x v="2"/>
    <x v="22"/>
    <x v="3"/>
    <n v="23"/>
    <n v="16"/>
    <n v="368"/>
    <n v="0.11"/>
    <x v="7"/>
  </r>
  <r>
    <s v="EMP-ID-871"/>
    <x v="0"/>
    <x v="22"/>
    <x v="0"/>
    <n v="6"/>
    <n v="80"/>
    <n v="480"/>
    <n v="0.01"/>
    <x v="8"/>
  </r>
  <r>
    <s v="EMP-ID-872"/>
    <x v="0"/>
    <x v="22"/>
    <x v="3"/>
    <n v="7"/>
    <n v="16"/>
    <n v="112"/>
    <n v="0.12"/>
    <x v="9"/>
  </r>
  <r>
    <s v="EMP-ID-873"/>
    <x v="1"/>
    <x v="22"/>
    <x v="0"/>
    <n v="10"/>
    <n v="80"/>
    <n v="800"/>
    <n v="0.11"/>
    <x v="10"/>
  </r>
  <r>
    <s v="EMP-ID-874"/>
    <x v="0"/>
    <x v="22"/>
    <x v="2"/>
    <n v="9"/>
    <n v="230"/>
    <n v="2070"/>
    <n v="7.0000000000000007E-2"/>
    <x v="11"/>
  </r>
  <r>
    <s v="EMP-ID-875"/>
    <x v="1"/>
    <x v="23"/>
    <x v="1"/>
    <n v="12"/>
    <n v="40"/>
    <n v="480"/>
    <n v="0.1"/>
    <x v="0"/>
  </r>
  <r>
    <s v="EMP-ID-876"/>
    <x v="4"/>
    <x v="23"/>
    <x v="3"/>
    <n v="17"/>
    <n v="16"/>
    <n v="272"/>
    <n v="0.1"/>
    <x v="1"/>
  </r>
  <r>
    <s v="EMP-ID-877"/>
    <x v="2"/>
    <x v="23"/>
    <x v="4"/>
    <n v="22"/>
    <n v="150"/>
    <n v="3300"/>
    <n v="0.04"/>
    <x v="2"/>
  </r>
  <r>
    <s v="EMP-ID-878"/>
    <x v="2"/>
    <x v="23"/>
    <x v="4"/>
    <n v="11"/>
    <n v="150"/>
    <n v="1650"/>
    <n v="0.05"/>
    <x v="12"/>
  </r>
  <r>
    <s v="EMP-ID-879"/>
    <x v="4"/>
    <x v="23"/>
    <x v="0"/>
    <n v="9"/>
    <n v="80"/>
    <n v="720"/>
    <n v="0.02"/>
    <x v="4"/>
  </r>
  <r>
    <s v="EMP-ID-880"/>
    <x v="4"/>
    <x v="23"/>
    <x v="0"/>
    <n v="13"/>
    <n v="80"/>
    <n v="1040"/>
    <n v="0.05"/>
    <x v="5"/>
  </r>
  <r>
    <s v="EMP-ID-881"/>
    <x v="4"/>
    <x v="23"/>
    <x v="1"/>
    <n v="20"/>
    <n v="40"/>
    <n v="800"/>
    <n v="0.1"/>
    <x v="1"/>
  </r>
  <r>
    <s v="EMP-ID-882"/>
    <x v="1"/>
    <x v="23"/>
    <x v="1"/>
    <n v="15"/>
    <n v="40"/>
    <n v="600"/>
    <n v="0.02"/>
    <x v="2"/>
  </r>
  <r>
    <s v="EMP-ID-883"/>
    <x v="4"/>
    <x v="24"/>
    <x v="4"/>
    <n v="15"/>
    <n v="150"/>
    <n v="2250"/>
    <n v="7.0000000000000007E-2"/>
    <x v="12"/>
  </r>
  <r>
    <s v="EMP-ID-884"/>
    <x v="4"/>
    <x v="24"/>
    <x v="0"/>
    <n v="16"/>
    <n v="80"/>
    <n v="1280"/>
    <n v="0.09"/>
    <x v="4"/>
  </r>
  <r>
    <s v="EMP-ID-885"/>
    <x v="0"/>
    <x v="24"/>
    <x v="2"/>
    <n v="16"/>
    <n v="230"/>
    <n v="3680"/>
    <n v="7.0000000000000007E-2"/>
    <x v="5"/>
  </r>
  <r>
    <s v="EMP-ID-886"/>
    <x v="1"/>
    <x v="24"/>
    <x v="0"/>
    <n v="14"/>
    <n v="80"/>
    <n v="1120"/>
    <n v="0.11"/>
    <x v="6"/>
  </r>
  <r>
    <s v="EMP-ID-887"/>
    <x v="4"/>
    <x v="24"/>
    <x v="0"/>
    <n v="17"/>
    <n v="80"/>
    <n v="1360"/>
    <n v="7.0000000000000007E-2"/>
    <x v="7"/>
  </r>
  <r>
    <s v="EMP-ID-888"/>
    <x v="2"/>
    <x v="24"/>
    <x v="0"/>
    <n v="16"/>
    <n v="80"/>
    <n v="1280"/>
    <n v="0.02"/>
    <x v="8"/>
  </r>
  <r>
    <s v="EMP-ID-889"/>
    <x v="0"/>
    <x v="24"/>
    <x v="3"/>
    <n v="21"/>
    <n v="16"/>
    <n v="336"/>
    <n v="0.09"/>
    <x v="9"/>
  </r>
  <r>
    <s v="EMP-ID-890"/>
    <x v="0"/>
    <x v="24"/>
    <x v="4"/>
    <n v="9"/>
    <n v="150"/>
    <n v="1350"/>
    <n v="0.1"/>
    <x v="10"/>
  </r>
  <r>
    <s v="EMP-ID-891"/>
    <x v="3"/>
    <x v="24"/>
    <x v="4"/>
    <n v="3"/>
    <n v="150"/>
    <n v="450"/>
    <n v="0.01"/>
    <x v="11"/>
  </r>
  <r>
    <s v="EMP-ID-892"/>
    <x v="1"/>
    <x v="25"/>
    <x v="0"/>
    <n v="14"/>
    <n v="80"/>
    <n v="1120"/>
    <n v="0.06"/>
    <x v="0"/>
  </r>
  <r>
    <s v="EMP-ID-893"/>
    <x v="4"/>
    <x v="25"/>
    <x v="4"/>
    <n v="4"/>
    <n v="150"/>
    <n v="600"/>
    <n v="0.05"/>
    <x v="1"/>
  </r>
  <r>
    <s v="EMP-ID-894"/>
    <x v="1"/>
    <x v="25"/>
    <x v="3"/>
    <n v="20"/>
    <n v="16"/>
    <n v="320"/>
    <n v="0.06"/>
    <x v="2"/>
  </r>
  <r>
    <s v="EMP-ID-895"/>
    <x v="2"/>
    <x v="25"/>
    <x v="2"/>
    <n v="7"/>
    <n v="230"/>
    <n v="1610"/>
    <n v="0.01"/>
    <x v="12"/>
  </r>
  <r>
    <s v="EMP-ID-896"/>
    <x v="1"/>
    <x v="25"/>
    <x v="0"/>
    <n v="9"/>
    <n v="80"/>
    <n v="720"/>
    <n v="0.03"/>
    <x v="4"/>
  </r>
  <r>
    <s v="EMP-ID-897"/>
    <x v="3"/>
    <x v="25"/>
    <x v="1"/>
    <n v="4"/>
    <n v="40"/>
    <n v="160"/>
    <n v="0.05"/>
    <x v="5"/>
  </r>
  <r>
    <s v="EMP-ID-898"/>
    <x v="0"/>
    <x v="25"/>
    <x v="0"/>
    <n v="6"/>
    <n v="80"/>
    <n v="480"/>
    <n v="7.0000000000000007E-2"/>
    <x v="1"/>
  </r>
  <r>
    <s v="EMP-ID-899"/>
    <x v="2"/>
    <x v="25"/>
    <x v="3"/>
    <n v="8"/>
    <n v="16"/>
    <n v="128"/>
    <n v="0.03"/>
    <x v="2"/>
  </r>
  <r>
    <s v="EMP-ID-900"/>
    <x v="0"/>
    <x v="25"/>
    <x v="3"/>
    <n v="10"/>
    <n v="16"/>
    <n v="160"/>
    <n v="0.08"/>
    <x v="12"/>
  </r>
  <r>
    <s v="EMP-ID-901"/>
    <x v="3"/>
    <x v="25"/>
    <x v="3"/>
    <n v="22"/>
    <n v="16"/>
    <n v="352"/>
    <n v="0.03"/>
    <x v="4"/>
  </r>
  <r>
    <s v="EMP-ID-902"/>
    <x v="3"/>
    <x v="25"/>
    <x v="0"/>
    <n v="11"/>
    <n v="80"/>
    <n v="880"/>
    <n v="0.01"/>
    <x v="5"/>
  </r>
  <r>
    <s v="EMP-ID-903"/>
    <x v="3"/>
    <x v="25"/>
    <x v="3"/>
    <n v="7"/>
    <n v="16"/>
    <n v="112"/>
    <n v="0.08"/>
    <x v="6"/>
  </r>
  <r>
    <s v="EMP-ID-904"/>
    <x v="2"/>
    <x v="26"/>
    <x v="3"/>
    <n v="11"/>
    <n v="16"/>
    <n v="176"/>
    <n v="0.12"/>
    <x v="7"/>
  </r>
  <r>
    <s v="EMP-ID-905"/>
    <x v="4"/>
    <x v="26"/>
    <x v="1"/>
    <n v="7"/>
    <n v="40"/>
    <n v="280"/>
    <n v="0.05"/>
    <x v="8"/>
  </r>
  <r>
    <s v="EMP-ID-906"/>
    <x v="2"/>
    <x v="26"/>
    <x v="4"/>
    <n v="9"/>
    <n v="150"/>
    <n v="1350"/>
    <n v="0.06"/>
    <x v="9"/>
  </r>
  <r>
    <s v="EMP-ID-907"/>
    <x v="0"/>
    <x v="26"/>
    <x v="2"/>
    <n v="20"/>
    <n v="230"/>
    <n v="4600"/>
    <n v="0.04"/>
    <x v="10"/>
  </r>
  <r>
    <s v="EMP-ID-908"/>
    <x v="2"/>
    <x v="26"/>
    <x v="4"/>
    <n v="9"/>
    <n v="150"/>
    <n v="1350"/>
    <n v="0.02"/>
    <x v="11"/>
  </r>
  <r>
    <s v="EMP-ID-909"/>
    <x v="1"/>
    <x v="26"/>
    <x v="0"/>
    <n v="5"/>
    <n v="80"/>
    <n v="400"/>
    <n v="7.0000000000000007E-2"/>
    <x v="0"/>
  </r>
  <r>
    <s v="EMP-ID-910"/>
    <x v="2"/>
    <x v="26"/>
    <x v="4"/>
    <n v="20"/>
    <n v="150"/>
    <n v="3000"/>
    <n v="0.04"/>
    <x v="1"/>
  </r>
  <r>
    <s v="EMP-ID-911"/>
    <x v="3"/>
    <x v="26"/>
    <x v="4"/>
    <n v="15"/>
    <n v="150"/>
    <n v="2250"/>
    <n v="0.05"/>
    <x v="2"/>
  </r>
  <r>
    <s v="EMP-ID-912"/>
    <x v="0"/>
    <x v="26"/>
    <x v="0"/>
    <n v="20"/>
    <n v="80"/>
    <n v="1600"/>
    <n v="0.01"/>
    <x v="12"/>
  </r>
  <r>
    <s v="EMP-ID-913"/>
    <x v="1"/>
    <x v="27"/>
    <x v="2"/>
    <n v="12"/>
    <n v="230"/>
    <n v="2760"/>
    <n v="0.03"/>
    <x v="4"/>
  </r>
  <r>
    <s v="EMP-ID-914"/>
    <x v="4"/>
    <x v="27"/>
    <x v="1"/>
    <n v="20"/>
    <n v="40"/>
    <n v="800"/>
    <n v="0.05"/>
    <x v="5"/>
  </r>
  <r>
    <s v="EMP-ID-915"/>
    <x v="4"/>
    <x v="27"/>
    <x v="1"/>
    <n v="4"/>
    <n v="40"/>
    <n v="160"/>
    <n v="0.09"/>
    <x v="1"/>
  </r>
  <r>
    <s v="EMP-ID-916"/>
    <x v="2"/>
    <x v="27"/>
    <x v="3"/>
    <n v="6"/>
    <n v="16"/>
    <n v="96"/>
    <n v="7.0000000000000007E-2"/>
    <x v="2"/>
  </r>
  <r>
    <s v="EMP-ID-917"/>
    <x v="1"/>
    <x v="27"/>
    <x v="0"/>
    <n v="13"/>
    <n v="80"/>
    <n v="1040"/>
    <n v="0.06"/>
    <x v="12"/>
  </r>
  <r>
    <s v="EMP-ID-918"/>
    <x v="0"/>
    <x v="27"/>
    <x v="4"/>
    <n v="4"/>
    <n v="150"/>
    <n v="600"/>
    <n v="0.1"/>
    <x v="4"/>
  </r>
  <r>
    <s v="EMP-ID-919"/>
    <x v="3"/>
    <x v="27"/>
    <x v="4"/>
    <n v="9"/>
    <n v="150"/>
    <n v="1350"/>
    <n v="0.02"/>
    <x v="5"/>
  </r>
  <r>
    <s v="EMP-ID-920"/>
    <x v="0"/>
    <x v="27"/>
    <x v="4"/>
    <n v="11"/>
    <n v="150"/>
    <n v="1650"/>
    <n v="0.05"/>
    <x v="6"/>
  </r>
  <r>
    <s v="EMP-ID-921"/>
    <x v="2"/>
    <x v="27"/>
    <x v="3"/>
    <n v="6"/>
    <n v="16"/>
    <n v="96"/>
    <n v="0.06"/>
    <x v="7"/>
  </r>
  <r>
    <s v="EMP-ID-922"/>
    <x v="2"/>
    <x v="28"/>
    <x v="2"/>
    <n v="14"/>
    <n v="230"/>
    <n v="3220"/>
    <n v="0.12"/>
    <x v="8"/>
  </r>
  <r>
    <s v="EMP-ID-923"/>
    <x v="1"/>
    <x v="28"/>
    <x v="0"/>
    <n v="15"/>
    <n v="80"/>
    <n v="1200"/>
    <n v="0.12"/>
    <x v="9"/>
  </r>
  <r>
    <s v="EMP-ID-924"/>
    <x v="3"/>
    <x v="28"/>
    <x v="2"/>
    <n v="17"/>
    <n v="230"/>
    <n v="3910"/>
    <n v="0.12"/>
    <x v="10"/>
  </r>
  <r>
    <s v="EMP-ID-925"/>
    <x v="0"/>
    <x v="28"/>
    <x v="4"/>
    <n v="5"/>
    <n v="150"/>
    <n v="750"/>
    <n v="0.11"/>
    <x v="11"/>
  </r>
  <r>
    <s v="EMP-ID-926"/>
    <x v="4"/>
    <x v="28"/>
    <x v="0"/>
    <n v="10"/>
    <n v="80"/>
    <n v="800"/>
    <n v="0.06"/>
    <x v="0"/>
  </r>
  <r>
    <s v="EMP-ID-927"/>
    <x v="0"/>
    <x v="28"/>
    <x v="0"/>
    <n v="9"/>
    <n v="80"/>
    <n v="720"/>
    <n v="0.04"/>
    <x v="1"/>
  </r>
  <r>
    <s v="EMP-ID-928"/>
    <x v="4"/>
    <x v="28"/>
    <x v="1"/>
    <n v="16"/>
    <n v="40"/>
    <n v="640"/>
    <n v="0.09"/>
    <x v="2"/>
  </r>
  <r>
    <s v="EMP-ID-929"/>
    <x v="0"/>
    <x v="28"/>
    <x v="2"/>
    <n v="7"/>
    <n v="230"/>
    <n v="1610"/>
    <n v="0.08"/>
    <x v="12"/>
  </r>
  <r>
    <s v="EMP-ID-930"/>
    <x v="3"/>
    <x v="28"/>
    <x v="0"/>
    <n v="17"/>
    <n v="80"/>
    <n v="1360"/>
    <n v="0.05"/>
    <x v="4"/>
  </r>
  <r>
    <s v="EMP-ID-931"/>
    <x v="0"/>
    <x v="28"/>
    <x v="2"/>
    <n v="11"/>
    <n v="230"/>
    <n v="2530"/>
    <n v="0.02"/>
    <x v="5"/>
  </r>
  <r>
    <s v="EMP-ID-932"/>
    <x v="0"/>
    <x v="29"/>
    <x v="1"/>
    <n v="15"/>
    <n v="40"/>
    <n v="600"/>
    <n v="0.06"/>
    <x v="1"/>
  </r>
  <r>
    <s v="EMP-ID-933"/>
    <x v="0"/>
    <x v="30"/>
    <x v="2"/>
    <n v="7"/>
    <n v="230"/>
    <n v="1610"/>
    <n v="0.02"/>
    <x v="2"/>
  </r>
  <r>
    <s v="EMP-ID-934"/>
    <x v="2"/>
    <x v="30"/>
    <x v="0"/>
    <n v="20"/>
    <n v="80"/>
    <n v="1600"/>
    <n v="7.0000000000000007E-2"/>
    <x v="12"/>
  </r>
  <r>
    <s v="EMP-ID-935"/>
    <x v="1"/>
    <x v="30"/>
    <x v="0"/>
    <n v="3"/>
    <n v="80"/>
    <n v="240"/>
    <n v="0.02"/>
    <x v="4"/>
  </r>
  <r>
    <s v="EMP-ID-936"/>
    <x v="2"/>
    <x v="30"/>
    <x v="4"/>
    <n v="2"/>
    <n v="150"/>
    <n v="300"/>
    <n v="0.02"/>
    <x v="5"/>
  </r>
  <r>
    <s v="EMP-ID-937"/>
    <x v="2"/>
    <x v="30"/>
    <x v="4"/>
    <n v="22"/>
    <n v="150"/>
    <n v="3300"/>
    <n v="0.09"/>
    <x v="6"/>
  </r>
  <r>
    <s v="EMP-ID-938"/>
    <x v="0"/>
    <x v="30"/>
    <x v="2"/>
    <n v="5"/>
    <n v="230"/>
    <n v="1150"/>
    <n v="0.1"/>
    <x v="7"/>
  </r>
  <r>
    <s v="EMP-ID-939"/>
    <x v="4"/>
    <x v="30"/>
    <x v="3"/>
    <n v="12"/>
    <n v="16"/>
    <n v="192"/>
    <n v="0.04"/>
    <x v="8"/>
  </r>
  <r>
    <s v="EMP-ID-940"/>
    <x v="3"/>
    <x v="30"/>
    <x v="1"/>
    <n v="6"/>
    <n v="40"/>
    <n v="240"/>
    <n v="7.0000000000000007E-2"/>
    <x v="9"/>
  </r>
  <r>
    <s v="EMP-ID-941"/>
    <x v="4"/>
    <x v="30"/>
    <x v="3"/>
    <n v="15"/>
    <n v="16"/>
    <n v="240"/>
    <n v="0.01"/>
    <x v="10"/>
  </r>
  <r>
    <s v="EMP-ID-942"/>
    <x v="4"/>
    <x v="0"/>
    <x v="4"/>
    <n v="13"/>
    <n v="150"/>
    <n v="1950"/>
    <n v="0.11"/>
    <x v="11"/>
  </r>
  <r>
    <s v="EMP-ID-943"/>
    <x v="1"/>
    <x v="0"/>
    <x v="1"/>
    <n v="8"/>
    <n v="40"/>
    <n v="320"/>
    <n v="0.09"/>
    <x v="0"/>
  </r>
  <r>
    <s v="EMP-ID-944"/>
    <x v="3"/>
    <x v="0"/>
    <x v="1"/>
    <n v="7"/>
    <n v="40"/>
    <n v="280"/>
    <n v="7.0000000000000007E-2"/>
    <x v="1"/>
  </r>
  <r>
    <s v="EMP-ID-945"/>
    <x v="1"/>
    <x v="0"/>
    <x v="1"/>
    <n v="18"/>
    <n v="40"/>
    <n v="720"/>
    <n v="0.08"/>
    <x v="2"/>
  </r>
  <r>
    <s v="EMP-ID-946"/>
    <x v="3"/>
    <x v="0"/>
    <x v="2"/>
    <n v="19"/>
    <n v="230"/>
    <n v="4370"/>
    <n v="0.06"/>
    <x v="12"/>
  </r>
  <r>
    <s v="EMP-ID-947"/>
    <x v="0"/>
    <x v="0"/>
    <x v="4"/>
    <n v="4"/>
    <n v="150"/>
    <n v="600"/>
    <n v="0.1"/>
    <x v="4"/>
  </r>
  <r>
    <s v="EMP-ID-948"/>
    <x v="4"/>
    <x v="1"/>
    <x v="0"/>
    <n v="9"/>
    <n v="80"/>
    <n v="720"/>
    <n v="0.06"/>
    <x v="5"/>
  </r>
  <r>
    <s v="EMP-ID-949"/>
    <x v="2"/>
    <x v="1"/>
    <x v="0"/>
    <n v="16"/>
    <n v="80"/>
    <n v="1280"/>
    <n v="0.02"/>
    <x v="1"/>
  </r>
  <r>
    <s v="EMP-ID-950"/>
    <x v="1"/>
    <x v="1"/>
    <x v="2"/>
    <n v="15"/>
    <n v="230"/>
    <n v="3450"/>
    <n v="0.09"/>
    <x v="2"/>
  </r>
  <r>
    <s v="EMP-ID-951"/>
    <x v="4"/>
    <x v="1"/>
    <x v="3"/>
    <n v="15"/>
    <n v="16"/>
    <n v="240"/>
    <n v="0.01"/>
    <x v="12"/>
  </r>
  <r>
    <s v="EMP-ID-952"/>
    <x v="0"/>
    <x v="1"/>
    <x v="2"/>
    <n v="7"/>
    <n v="230"/>
    <n v="1610"/>
    <n v="0.02"/>
    <x v="4"/>
  </r>
  <r>
    <s v="EMP-ID-953"/>
    <x v="2"/>
    <x v="1"/>
    <x v="3"/>
    <n v="23"/>
    <n v="16"/>
    <n v="368"/>
    <n v="0.11"/>
    <x v="5"/>
  </r>
  <r>
    <s v="EMP-ID-954"/>
    <x v="4"/>
    <x v="1"/>
    <x v="1"/>
    <n v="20"/>
    <n v="40"/>
    <n v="800"/>
    <n v="0.05"/>
    <x v="6"/>
  </r>
  <r>
    <s v="EMP-ID-955"/>
    <x v="1"/>
    <x v="2"/>
    <x v="2"/>
    <n v="9"/>
    <n v="230"/>
    <n v="2070"/>
    <n v="0.03"/>
    <x v="7"/>
  </r>
  <r>
    <s v="EMP-ID-956"/>
    <x v="3"/>
    <x v="2"/>
    <x v="1"/>
    <n v="23"/>
    <n v="40"/>
    <n v="920"/>
    <n v="0.06"/>
    <x v="8"/>
  </r>
  <r>
    <s v="EMP-ID-957"/>
    <x v="3"/>
    <x v="2"/>
    <x v="1"/>
    <n v="4"/>
    <n v="40"/>
    <n v="160"/>
    <n v="0.05"/>
    <x v="9"/>
  </r>
  <r>
    <s v="EMP-ID-958"/>
    <x v="0"/>
    <x v="2"/>
    <x v="4"/>
    <n v="13"/>
    <n v="150"/>
    <n v="1950"/>
    <n v="0.05"/>
    <x v="10"/>
  </r>
  <r>
    <s v="EMP-ID-959"/>
    <x v="1"/>
    <x v="2"/>
    <x v="2"/>
    <n v="7"/>
    <n v="230"/>
    <n v="1610"/>
    <n v="0.01"/>
    <x v="11"/>
  </r>
  <r>
    <s v="EMP-ID-960"/>
    <x v="1"/>
    <x v="2"/>
    <x v="2"/>
    <n v="7"/>
    <n v="230"/>
    <n v="1610"/>
    <n v="0.08"/>
    <x v="0"/>
  </r>
  <r>
    <s v="EMP-ID-961"/>
    <x v="2"/>
    <x v="2"/>
    <x v="2"/>
    <n v="15"/>
    <n v="230"/>
    <n v="3450"/>
    <n v="0.04"/>
    <x v="1"/>
  </r>
  <r>
    <s v="EMP-ID-962"/>
    <x v="3"/>
    <x v="2"/>
    <x v="1"/>
    <n v="15"/>
    <n v="40"/>
    <n v="600"/>
    <n v="0.03"/>
    <x v="2"/>
  </r>
  <r>
    <s v="EMP-ID-963"/>
    <x v="2"/>
    <x v="2"/>
    <x v="1"/>
    <n v="2"/>
    <n v="40"/>
    <n v="80"/>
    <n v="0.03"/>
    <x v="12"/>
  </r>
  <r>
    <s v="EMP-ID-964"/>
    <x v="2"/>
    <x v="2"/>
    <x v="4"/>
    <n v="2"/>
    <n v="150"/>
    <n v="300"/>
    <n v="0.02"/>
    <x v="4"/>
  </r>
  <r>
    <s v="EMP-ID-965"/>
    <x v="0"/>
    <x v="3"/>
    <x v="2"/>
    <n v="3"/>
    <n v="230"/>
    <n v="690"/>
    <n v="0.11"/>
    <x v="5"/>
  </r>
  <r>
    <s v="EMP-ID-966"/>
    <x v="2"/>
    <x v="3"/>
    <x v="1"/>
    <n v="4"/>
    <n v="40"/>
    <n v="160"/>
    <n v="0.06"/>
    <x v="1"/>
  </r>
  <r>
    <s v="EMP-ID-967"/>
    <x v="3"/>
    <x v="3"/>
    <x v="1"/>
    <n v="13"/>
    <n v="40"/>
    <n v="520"/>
    <n v="0.06"/>
    <x v="2"/>
  </r>
  <r>
    <s v="EMP-ID-968"/>
    <x v="3"/>
    <x v="3"/>
    <x v="3"/>
    <n v="15"/>
    <n v="16"/>
    <n v="240"/>
    <n v="0.12"/>
    <x v="12"/>
  </r>
  <r>
    <s v="EMP-ID-969"/>
    <x v="0"/>
    <x v="3"/>
    <x v="0"/>
    <n v="14"/>
    <n v="80"/>
    <n v="1120"/>
    <n v="0.08"/>
    <x v="4"/>
  </r>
  <r>
    <s v="EMP-ID-970"/>
    <x v="0"/>
    <x v="3"/>
    <x v="3"/>
    <n v="7"/>
    <n v="16"/>
    <n v="112"/>
    <n v="0.08"/>
    <x v="5"/>
  </r>
  <r>
    <s v="EMP-ID-971"/>
    <x v="1"/>
    <x v="3"/>
    <x v="4"/>
    <n v="13"/>
    <n v="150"/>
    <n v="1950"/>
    <n v="0.02"/>
    <x v="6"/>
  </r>
  <r>
    <s v="EMP-ID-972"/>
    <x v="2"/>
    <x v="3"/>
    <x v="4"/>
    <n v="9"/>
    <n v="150"/>
    <n v="1350"/>
    <n v="0.02"/>
    <x v="7"/>
  </r>
  <r>
    <s v="EMP-ID-973"/>
    <x v="0"/>
    <x v="3"/>
    <x v="1"/>
    <n v="9"/>
    <n v="40"/>
    <n v="360"/>
    <n v="0.01"/>
    <x v="8"/>
  </r>
  <r>
    <s v="EMP-ID-974"/>
    <x v="4"/>
    <x v="4"/>
    <x v="0"/>
    <n v="9"/>
    <n v="80"/>
    <n v="720"/>
    <n v="7.0000000000000007E-2"/>
    <x v="9"/>
  </r>
  <r>
    <s v="EMP-ID-975"/>
    <x v="1"/>
    <x v="4"/>
    <x v="2"/>
    <n v="22"/>
    <n v="230"/>
    <n v="5060"/>
    <n v="0.11"/>
    <x v="10"/>
  </r>
  <r>
    <s v="EMP-ID-976"/>
    <x v="1"/>
    <x v="4"/>
    <x v="4"/>
    <n v="15"/>
    <n v="150"/>
    <n v="2250"/>
    <n v="0.02"/>
    <x v="11"/>
  </r>
  <r>
    <s v="EMP-ID-977"/>
    <x v="4"/>
    <x v="4"/>
    <x v="2"/>
    <n v="5"/>
    <n v="230"/>
    <n v="1150"/>
    <n v="0.12"/>
    <x v="0"/>
  </r>
  <r>
    <s v="EMP-ID-978"/>
    <x v="2"/>
    <x v="4"/>
    <x v="1"/>
    <n v="20"/>
    <n v="40"/>
    <n v="800"/>
    <n v="0.01"/>
    <x v="1"/>
  </r>
  <r>
    <s v="EMP-ID-979"/>
    <x v="0"/>
    <x v="4"/>
    <x v="1"/>
    <n v="23"/>
    <n v="40"/>
    <n v="920"/>
    <n v="0.03"/>
    <x v="2"/>
  </r>
  <r>
    <s v="EMP-ID-980"/>
    <x v="4"/>
    <x v="4"/>
    <x v="0"/>
    <n v="16"/>
    <n v="80"/>
    <n v="1280"/>
    <n v="0.05"/>
    <x v="12"/>
  </r>
  <r>
    <s v="EMP-ID-981"/>
    <x v="2"/>
    <x v="4"/>
    <x v="2"/>
    <n v="18"/>
    <n v="230"/>
    <n v="4140"/>
    <n v="0.01"/>
    <x v="4"/>
  </r>
  <r>
    <s v="EMP-ID-982"/>
    <x v="4"/>
    <x v="4"/>
    <x v="1"/>
    <n v="23"/>
    <n v="40"/>
    <n v="920"/>
    <n v="0.05"/>
    <x v="5"/>
  </r>
  <r>
    <s v="EMP-ID-983"/>
    <x v="3"/>
    <x v="4"/>
    <x v="3"/>
    <n v="5"/>
    <n v="16"/>
    <n v="80"/>
    <n v="0.09"/>
    <x v="1"/>
  </r>
  <r>
    <s v="EMP-ID-984"/>
    <x v="0"/>
    <x v="4"/>
    <x v="1"/>
    <n v="22"/>
    <n v="40"/>
    <n v="880"/>
    <n v="0.02"/>
    <x v="2"/>
  </r>
  <r>
    <s v="EMP-ID-985"/>
    <x v="0"/>
    <x v="5"/>
    <x v="4"/>
    <n v="23"/>
    <n v="150"/>
    <n v="3450"/>
    <n v="0.1"/>
    <x v="12"/>
  </r>
  <r>
    <s v="EMP-ID-986"/>
    <x v="1"/>
    <x v="5"/>
    <x v="2"/>
    <n v="22"/>
    <n v="230"/>
    <n v="5060"/>
    <n v="0.04"/>
    <x v="4"/>
  </r>
  <r>
    <s v="EMP-ID-987"/>
    <x v="3"/>
    <x v="5"/>
    <x v="0"/>
    <n v="16"/>
    <n v="80"/>
    <n v="1280"/>
    <n v="7.0000000000000007E-2"/>
    <x v="5"/>
  </r>
  <r>
    <s v="EMP-ID-988"/>
    <x v="2"/>
    <x v="5"/>
    <x v="4"/>
    <n v="22"/>
    <n v="150"/>
    <n v="3300"/>
    <n v="0.09"/>
    <x v="6"/>
  </r>
  <r>
    <s v="EMP-ID-989"/>
    <x v="2"/>
    <x v="5"/>
    <x v="0"/>
    <n v="5"/>
    <n v="80"/>
    <n v="400"/>
    <n v="0.09"/>
    <x v="7"/>
  </r>
  <r>
    <s v="EMP-ID-990"/>
    <x v="3"/>
    <x v="5"/>
    <x v="0"/>
    <n v="16"/>
    <n v="80"/>
    <n v="1280"/>
    <n v="0.1"/>
    <x v="8"/>
  </r>
  <r>
    <s v="EMP-ID-991"/>
    <x v="1"/>
    <x v="5"/>
    <x v="4"/>
    <n v="23"/>
    <n v="150"/>
    <n v="3450"/>
    <n v="0.11"/>
    <x v="9"/>
  </r>
  <r>
    <s v="EMP-ID-992"/>
    <x v="1"/>
    <x v="5"/>
    <x v="3"/>
    <n v="4"/>
    <n v="16"/>
    <n v="64"/>
    <n v="0.09"/>
    <x v="10"/>
  </r>
  <r>
    <s v="EMP-ID-993"/>
    <x v="1"/>
    <x v="5"/>
    <x v="3"/>
    <n v="4"/>
    <n v="16"/>
    <n v="64"/>
    <n v="7.0000000000000007E-2"/>
    <x v="11"/>
  </r>
  <r>
    <s v="EMP-ID-994"/>
    <x v="0"/>
    <x v="5"/>
    <x v="3"/>
    <n v="16"/>
    <n v="16"/>
    <n v="256"/>
    <n v="0.03"/>
    <x v="0"/>
  </r>
  <r>
    <s v="EMP-ID-995"/>
    <x v="3"/>
    <x v="5"/>
    <x v="1"/>
    <n v="18"/>
    <n v="40"/>
    <n v="720"/>
    <n v="0.04"/>
    <x v="1"/>
  </r>
  <r>
    <s v="EMP-ID-996"/>
    <x v="3"/>
    <x v="5"/>
    <x v="0"/>
    <n v="21"/>
    <n v="80"/>
    <n v="1680"/>
    <n v="0.02"/>
    <x v="2"/>
  </r>
  <r>
    <s v="EMP-ID-997"/>
    <x v="4"/>
    <x v="5"/>
    <x v="0"/>
    <n v="10"/>
    <n v="80"/>
    <n v="800"/>
    <n v="0.06"/>
    <x v="12"/>
  </r>
  <r>
    <s v="EMP-ID-998"/>
    <x v="2"/>
    <x v="5"/>
    <x v="2"/>
    <n v="7"/>
    <n v="230"/>
    <n v="1610"/>
    <n v="0.01"/>
    <x v="4"/>
  </r>
  <r>
    <s v="EMP-ID-999"/>
    <x v="4"/>
    <x v="6"/>
    <x v="3"/>
    <n v="11"/>
    <n v="16"/>
    <n v="176"/>
    <n v="0.12"/>
    <x v="5"/>
  </r>
  <r>
    <s v="EMP-ID-1000"/>
    <x v="3"/>
    <x v="6"/>
    <x v="0"/>
    <n v="10"/>
    <n v="80"/>
    <n v="800"/>
    <n v="0.1"/>
    <x v="1"/>
  </r>
  <r>
    <s v="EMP-ID-1001"/>
    <x v="1"/>
    <x v="6"/>
    <x v="1"/>
    <n v="23"/>
    <n v="40"/>
    <n v="920"/>
    <n v="0.06"/>
    <x v="2"/>
  </r>
  <r>
    <s v="EMP-ID-1002"/>
    <x v="4"/>
    <x v="6"/>
    <x v="4"/>
    <n v="7"/>
    <n v="150"/>
    <n v="1050"/>
    <n v="0.02"/>
    <x v="12"/>
  </r>
  <r>
    <s v="EMP-ID-1003"/>
    <x v="0"/>
    <x v="6"/>
    <x v="0"/>
    <n v="17"/>
    <n v="80"/>
    <n v="1360"/>
    <n v="7.0000000000000007E-2"/>
    <x v="4"/>
  </r>
  <r>
    <s v="EMP-ID-1004"/>
    <x v="1"/>
    <x v="6"/>
    <x v="4"/>
    <n v="20"/>
    <n v="150"/>
    <n v="3000"/>
    <n v="0.09"/>
    <x v="5"/>
  </r>
  <r>
    <s v="EMP-ID-1005"/>
    <x v="3"/>
    <x v="6"/>
    <x v="2"/>
    <n v="23"/>
    <n v="230"/>
    <n v="5290"/>
    <n v="0.06"/>
    <x v="6"/>
  </r>
  <r>
    <s v="EMP-ID-1006"/>
    <x v="1"/>
    <x v="6"/>
    <x v="0"/>
    <n v="16"/>
    <n v="80"/>
    <n v="1280"/>
    <n v="0.04"/>
    <x v="7"/>
  </r>
  <r>
    <s v="EMP-ID-1007"/>
    <x v="4"/>
    <x v="6"/>
    <x v="2"/>
    <n v="22"/>
    <n v="230"/>
    <n v="5060"/>
    <n v="0.1"/>
    <x v="8"/>
  </r>
  <r>
    <s v="EMP-ID-1008"/>
    <x v="2"/>
    <x v="6"/>
    <x v="2"/>
    <n v="15"/>
    <n v="230"/>
    <n v="3450"/>
    <n v="0.11"/>
    <x v="9"/>
  </r>
  <r>
    <s v="EMP-ID-1009"/>
    <x v="1"/>
    <x v="6"/>
    <x v="1"/>
    <n v="15"/>
    <n v="40"/>
    <n v="600"/>
    <n v="0.04"/>
    <x v="10"/>
  </r>
  <r>
    <s v="EMP-ID-1010"/>
    <x v="1"/>
    <x v="6"/>
    <x v="0"/>
    <n v="2"/>
    <n v="80"/>
    <n v="160"/>
    <n v="7.0000000000000007E-2"/>
    <x v="11"/>
  </r>
  <r>
    <s v="EMP-ID-1011"/>
    <x v="0"/>
    <x v="7"/>
    <x v="4"/>
    <n v="22"/>
    <n v="150"/>
    <n v="3300"/>
    <n v="0.05"/>
    <x v="0"/>
  </r>
  <r>
    <s v="EMP-ID-1012"/>
    <x v="4"/>
    <x v="7"/>
    <x v="1"/>
    <n v="20"/>
    <n v="40"/>
    <n v="800"/>
    <n v="7.0000000000000007E-2"/>
    <x v="1"/>
  </r>
  <r>
    <s v="EMP-ID-1013"/>
    <x v="3"/>
    <x v="7"/>
    <x v="2"/>
    <n v="2"/>
    <n v="230"/>
    <n v="460"/>
    <n v="0.09"/>
    <x v="2"/>
  </r>
  <r>
    <s v="EMP-ID-1014"/>
    <x v="3"/>
    <x v="7"/>
    <x v="1"/>
    <n v="7"/>
    <n v="40"/>
    <n v="280"/>
    <n v="0.11"/>
    <x v="12"/>
  </r>
  <r>
    <s v="EMP-ID-1015"/>
    <x v="3"/>
    <x v="7"/>
    <x v="0"/>
    <n v="7"/>
    <n v="80"/>
    <n v="560"/>
    <n v="7.0000000000000007E-2"/>
    <x v="4"/>
  </r>
  <r>
    <s v="EMP-ID-1016"/>
    <x v="3"/>
    <x v="7"/>
    <x v="1"/>
    <n v="9"/>
    <n v="40"/>
    <n v="360"/>
    <n v="0.06"/>
    <x v="5"/>
  </r>
  <r>
    <s v="EMP-ID-1017"/>
    <x v="0"/>
    <x v="7"/>
    <x v="1"/>
    <n v="18"/>
    <n v="40"/>
    <n v="720"/>
    <n v="0.11"/>
    <x v="1"/>
  </r>
  <r>
    <s v="EMP-ID-1018"/>
    <x v="0"/>
    <x v="7"/>
    <x v="2"/>
    <n v="20"/>
    <n v="230"/>
    <n v="4600"/>
    <n v="0.04"/>
    <x v="2"/>
  </r>
  <r>
    <s v="EMP-ID-1019"/>
    <x v="2"/>
    <x v="7"/>
    <x v="0"/>
    <n v="23"/>
    <n v="80"/>
    <n v="1840"/>
    <n v="0.05"/>
    <x v="12"/>
  </r>
  <r>
    <s v="EMP-ID-1020"/>
    <x v="4"/>
    <x v="7"/>
    <x v="4"/>
    <n v="11"/>
    <n v="150"/>
    <n v="1650"/>
    <n v="0.09"/>
    <x v="4"/>
  </r>
  <r>
    <s v="EMP-ID-1021"/>
    <x v="0"/>
    <x v="7"/>
    <x v="4"/>
    <n v="17"/>
    <n v="150"/>
    <n v="2550"/>
    <n v="0.12"/>
    <x v="5"/>
  </r>
  <r>
    <s v="EMP-ID-1022"/>
    <x v="4"/>
    <x v="7"/>
    <x v="2"/>
    <n v="2"/>
    <n v="230"/>
    <n v="460"/>
    <n v="0.08"/>
    <x v="6"/>
  </r>
  <r>
    <s v="EMP-ID-1023"/>
    <x v="2"/>
    <x v="7"/>
    <x v="0"/>
    <n v="10"/>
    <n v="80"/>
    <n v="800"/>
    <n v="0.11"/>
    <x v="7"/>
  </r>
  <r>
    <s v="EMP-ID-1024"/>
    <x v="3"/>
    <x v="8"/>
    <x v="3"/>
    <n v="22"/>
    <n v="16"/>
    <n v="352"/>
    <n v="0.03"/>
    <x v="8"/>
  </r>
  <r>
    <s v="EMP-ID-1025"/>
    <x v="2"/>
    <x v="8"/>
    <x v="3"/>
    <n v="9"/>
    <n v="16"/>
    <n v="144"/>
    <n v="0.05"/>
    <x v="9"/>
  </r>
  <r>
    <s v="EMP-ID-1026"/>
    <x v="2"/>
    <x v="8"/>
    <x v="1"/>
    <n v="4"/>
    <n v="40"/>
    <n v="160"/>
    <n v="0.1"/>
    <x v="10"/>
  </r>
  <r>
    <s v="EMP-ID-1027"/>
    <x v="4"/>
    <x v="8"/>
    <x v="0"/>
    <n v="9"/>
    <n v="80"/>
    <n v="720"/>
    <n v="0.02"/>
    <x v="11"/>
  </r>
  <r>
    <s v="EMP-ID-1028"/>
    <x v="2"/>
    <x v="8"/>
    <x v="2"/>
    <n v="6"/>
    <n v="230"/>
    <n v="1380"/>
    <n v="0.05"/>
    <x v="0"/>
  </r>
  <r>
    <s v="EMP-ID-1029"/>
    <x v="3"/>
    <x v="8"/>
    <x v="0"/>
    <n v="14"/>
    <n v="80"/>
    <n v="1120"/>
    <n v="0.05"/>
    <x v="1"/>
  </r>
  <r>
    <s v="EMP-ID-1030"/>
    <x v="4"/>
    <x v="8"/>
    <x v="3"/>
    <n v="17"/>
    <n v="16"/>
    <n v="272"/>
    <n v="0.08"/>
    <x v="2"/>
  </r>
  <r>
    <s v="EMP-ID-1031"/>
    <x v="1"/>
    <x v="8"/>
    <x v="4"/>
    <n v="22"/>
    <n v="150"/>
    <n v="3300"/>
    <n v="0.02"/>
    <x v="12"/>
  </r>
  <r>
    <s v="EMP-ID-1032"/>
    <x v="4"/>
    <x v="8"/>
    <x v="1"/>
    <n v="17"/>
    <n v="40"/>
    <n v="680"/>
    <n v="0.02"/>
    <x v="4"/>
  </r>
  <r>
    <s v="EMP-ID-1033"/>
    <x v="4"/>
    <x v="8"/>
    <x v="0"/>
    <n v="17"/>
    <n v="80"/>
    <n v="1360"/>
    <n v="7.0000000000000007E-2"/>
    <x v="5"/>
  </r>
  <r>
    <s v="EMP-ID-1034"/>
    <x v="3"/>
    <x v="8"/>
    <x v="4"/>
    <n v="4"/>
    <n v="150"/>
    <n v="600"/>
    <n v="0.12"/>
    <x v="1"/>
  </r>
  <r>
    <s v="EMP-ID-1035"/>
    <x v="3"/>
    <x v="8"/>
    <x v="3"/>
    <n v="14"/>
    <n v="16"/>
    <n v="224"/>
    <n v="0.12"/>
    <x v="2"/>
  </r>
  <r>
    <s v="EMP-ID-1036"/>
    <x v="0"/>
    <x v="8"/>
    <x v="3"/>
    <n v="18"/>
    <n v="16"/>
    <n v="288"/>
    <n v="0.11"/>
    <x v="12"/>
  </r>
  <r>
    <s v="EMP-ID-1037"/>
    <x v="4"/>
    <x v="8"/>
    <x v="0"/>
    <n v="22"/>
    <n v="80"/>
    <n v="1760"/>
    <n v="0.09"/>
    <x v="4"/>
  </r>
  <r>
    <s v="EMP-ID-1038"/>
    <x v="1"/>
    <x v="8"/>
    <x v="2"/>
    <n v="12"/>
    <n v="230"/>
    <n v="2760"/>
    <n v="0.03"/>
    <x v="5"/>
  </r>
  <r>
    <s v="EMP-ID-1039"/>
    <x v="1"/>
    <x v="8"/>
    <x v="1"/>
    <n v="12"/>
    <n v="40"/>
    <n v="480"/>
    <n v="0.1"/>
    <x v="6"/>
  </r>
  <r>
    <s v="EMP-ID-1040"/>
    <x v="4"/>
    <x v="9"/>
    <x v="1"/>
    <n v="7"/>
    <n v="40"/>
    <n v="280"/>
    <n v="0.12"/>
    <x v="7"/>
  </r>
  <r>
    <s v="EMP-ID-1041"/>
    <x v="0"/>
    <x v="9"/>
    <x v="0"/>
    <n v="12"/>
    <n v="80"/>
    <n v="960"/>
    <n v="0.04"/>
    <x v="8"/>
  </r>
  <r>
    <s v="EMP-ID-1042"/>
    <x v="4"/>
    <x v="9"/>
    <x v="3"/>
    <n v="17"/>
    <n v="16"/>
    <n v="272"/>
    <n v="0.1"/>
    <x v="9"/>
  </r>
  <r>
    <s v="EMP-ID-1043"/>
    <x v="1"/>
    <x v="9"/>
    <x v="2"/>
    <n v="6"/>
    <n v="230"/>
    <n v="1380"/>
    <n v="0.1"/>
    <x v="10"/>
  </r>
  <r>
    <s v="EMP-ID-1044"/>
    <x v="0"/>
    <x v="9"/>
    <x v="1"/>
    <n v="11"/>
    <n v="40"/>
    <n v="440"/>
    <n v="0.04"/>
    <x v="11"/>
  </r>
  <r>
    <s v="EMP-ID-1045"/>
    <x v="3"/>
    <x v="9"/>
    <x v="3"/>
    <n v="10"/>
    <n v="16"/>
    <n v="160"/>
    <n v="0.04"/>
    <x v="0"/>
  </r>
  <r>
    <s v="EMP-ID-1046"/>
    <x v="0"/>
    <x v="9"/>
    <x v="0"/>
    <n v="6"/>
    <n v="80"/>
    <n v="480"/>
    <n v="7.0000000000000007E-2"/>
    <x v="1"/>
  </r>
  <r>
    <s v="EMP-ID-1047"/>
    <x v="3"/>
    <x v="9"/>
    <x v="1"/>
    <n v="11"/>
    <n v="40"/>
    <n v="440"/>
    <n v="0.09"/>
    <x v="2"/>
  </r>
  <r>
    <s v="EMP-ID-1048"/>
    <x v="4"/>
    <x v="9"/>
    <x v="0"/>
    <n v="16"/>
    <n v="80"/>
    <n v="1280"/>
    <n v="0.09"/>
    <x v="12"/>
  </r>
  <r>
    <s v="EMP-ID-1049"/>
    <x v="3"/>
    <x v="9"/>
    <x v="1"/>
    <n v="13"/>
    <n v="40"/>
    <n v="520"/>
    <n v="0.09"/>
    <x v="4"/>
  </r>
  <r>
    <s v="EMP-ID-1050"/>
    <x v="0"/>
    <x v="9"/>
    <x v="2"/>
    <n v="5"/>
    <n v="230"/>
    <n v="1150"/>
    <n v="0.1"/>
    <x v="5"/>
  </r>
  <r>
    <s v="EMP-ID-1051"/>
    <x v="4"/>
    <x v="10"/>
    <x v="1"/>
    <n v="7"/>
    <n v="40"/>
    <n v="280"/>
    <n v="0.05"/>
    <x v="1"/>
  </r>
  <r>
    <s v="EMP-ID-1052"/>
    <x v="2"/>
    <x v="10"/>
    <x v="0"/>
    <n v="14"/>
    <n v="80"/>
    <n v="1120"/>
    <n v="0.1"/>
    <x v="2"/>
  </r>
  <r>
    <s v="EMP-ID-1053"/>
    <x v="4"/>
    <x v="10"/>
    <x v="3"/>
    <n v="12"/>
    <n v="16"/>
    <n v="192"/>
    <n v="0.04"/>
    <x v="12"/>
  </r>
  <r>
    <s v="EMP-ID-1054"/>
    <x v="2"/>
    <x v="10"/>
    <x v="2"/>
    <n v="14"/>
    <n v="230"/>
    <n v="3220"/>
    <n v="0.03"/>
    <x v="4"/>
  </r>
  <r>
    <s v="EMP-ID-1055"/>
    <x v="4"/>
    <x v="10"/>
    <x v="0"/>
    <n v="21"/>
    <n v="80"/>
    <n v="1680"/>
    <n v="0.09"/>
    <x v="5"/>
  </r>
  <r>
    <s v="EMP-ID-1056"/>
    <x v="2"/>
    <x v="10"/>
    <x v="2"/>
    <n v="5"/>
    <n v="230"/>
    <n v="1150"/>
    <n v="0.1"/>
    <x v="6"/>
  </r>
  <r>
    <s v="EMP-ID-1057"/>
    <x v="4"/>
    <x v="10"/>
    <x v="1"/>
    <n v="16"/>
    <n v="40"/>
    <n v="640"/>
    <n v="0.09"/>
    <x v="7"/>
  </r>
  <r>
    <s v="EMP-ID-1058"/>
    <x v="1"/>
    <x v="10"/>
    <x v="4"/>
    <n v="15"/>
    <n v="150"/>
    <n v="2250"/>
    <n v="0.12"/>
    <x v="8"/>
  </r>
  <r>
    <s v="EMP-ID-1059"/>
    <x v="4"/>
    <x v="10"/>
    <x v="3"/>
    <n v="23"/>
    <n v="16"/>
    <n v="368"/>
    <n v="0.01"/>
    <x v="9"/>
  </r>
  <r>
    <s v="EMP-ID-1060"/>
    <x v="1"/>
    <x v="10"/>
    <x v="3"/>
    <n v="22"/>
    <n v="16"/>
    <n v="352"/>
    <n v="0.04"/>
    <x v="10"/>
  </r>
  <r>
    <s v="EMP-ID-1061"/>
    <x v="0"/>
    <x v="10"/>
    <x v="0"/>
    <n v="20"/>
    <n v="80"/>
    <n v="1600"/>
    <n v="0.01"/>
    <x v="11"/>
  </r>
  <r>
    <s v="EMP-ID-1062"/>
    <x v="3"/>
    <x v="10"/>
    <x v="1"/>
    <n v="6"/>
    <n v="40"/>
    <n v="240"/>
    <n v="7.0000000000000007E-2"/>
    <x v="0"/>
  </r>
  <r>
    <s v="EMP-ID-1063"/>
    <x v="1"/>
    <x v="11"/>
    <x v="4"/>
    <n v="10"/>
    <n v="150"/>
    <n v="1500"/>
    <n v="0.01"/>
    <x v="1"/>
  </r>
  <r>
    <s v="EMP-ID-1064"/>
    <x v="3"/>
    <x v="11"/>
    <x v="0"/>
    <n v="17"/>
    <n v="80"/>
    <n v="1360"/>
    <n v="0.05"/>
    <x v="2"/>
  </r>
  <r>
    <s v="EMP-ID-1065"/>
    <x v="0"/>
    <x v="11"/>
    <x v="4"/>
    <n v="13"/>
    <n v="150"/>
    <n v="1950"/>
    <n v="0.05"/>
    <x v="12"/>
  </r>
  <r>
    <s v="EMP-ID-1066"/>
    <x v="3"/>
    <x v="11"/>
    <x v="2"/>
    <n v="8"/>
    <n v="230"/>
    <n v="1840"/>
    <n v="0.05"/>
    <x v="4"/>
  </r>
  <r>
    <s v="EMP-ID-1067"/>
    <x v="0"/>
    <x v="11"/>
    <x v="3"/>
    <n v="10"/>
    <n v="16"/>
    <n v="160"/>
    <n v="0.08"/>
    <x v="5"/>
  </r>
  <r>
    <s v="EMP-ID-1068"/>
    <x v="1"/>
    <x v="11"/>
    <x v="1"/>
    <n v="4"/>
    <n v="40"/>
    <n v="160"/>
    <n v="0.06"/>
    <x v="1"/>
  </r>
  <r>
    <s v="EMP-ID-1069"/>
    <x v="4"/>
    <x v="11"/>
    <x v="1"/>
    <n v="18"/>
    <n v="40"/>
    <n v="720"/>
    <n v="0.06"/>
    <x v="2"/>
  </r>
  <r>
    <s v="EMP-ID-1070"/>
    <x v="3"/>
    <x v="11"/>
    <x v="4"/>
    <n v="15"/>
    <n v="150"/>
    <n v="2250"/>
    <n v="0.05"/>
    <x v="12"/>
  </r>
  <r>
    <s v="EMP-ID-1071"/>
    <x v="3"/>
    <x v="11"/>
    <x v="4"/>
    <n v="3"/>
    <n v="150"/>
    <n v="450"/>
    <n v="0.01"/>
    <x v="4"/>
  </r>
  <r>
    <s v="EMP-ID-1072"/>
    <x v="0"/>
    <x v="11"/>
    <x v="3"/>
    <n v="12"/>
    <n v="16"/>
    <n v="192"/>
    <n v="0.11"/>
    <x v="5"/>
  </r>
  <r>
    <s v="EMP-ID-1073"/>
    <x v="4"/>
    <x v="12"/>
    <x v="0"/>
    <n v="17"/>
    <n v="80"/>
    <n v="1360"/>
    <n v="7.0000000000000007E-2"/>
    <x v="6"/>
  </r>
  <r>
    <s v="EMP-ID-1074"/>
    <x v="0"/>
    <x v="12"/>
    <x v="2"/>
    <n v="3"/>
    <n v="230"/>
    <n v="690"/>
    <n v="0.06"/>
    <x v="7"/>
  </r>
  <r>
    <s v="EMP-ID-1075"/>
    <x v="2"/>
    <x v="12"/>
    <x v="0"/>
    <n v="20"/>
    <n v="80"/>
    <n v="1600"/>
    <n v="7.0000000000000007E-2"/>
    <x v="8"/>
  </r>
  <r>
    <s v="EMP-ID-1076"/>
    <x v="1"/>
    <x v="12"/>
    <x v="2"/>
    <n v="14"/>
    <n v="230"/>
    <n v="3220"/>
    <n v="0.05"/>
    <x v="9"/>
  </r>
  <r>
    <s v="EMP-ID-1077"/>
    <x v="4"/>
    <x v="12"/>
    <x v="1"/>
    <n v="16"/>
    <n v="40"/>
    <n v="640"/>
    <n v="0.09"/>
    <x v="10"/>
  </r>
  <r>
    <s v="EMP-ID-1078"/>
    <x v="1"/>
    <x v="12"/>
    <x v="3"/>
    <n v="7"/>
    <n v="16"/>
    <n v="112"/>
    <n v="0.08"/>
    <x v="11"/>
  </r>
  <r>
    <s v="EMP-ID-1079"/>
    <x v="1"/>
    <x v="12"/>
    <x v="1"/>
    <n v="19"/>
    <n v="40"/>
    <n v="760"/>
    <n v="0.1"/>
    <x v="0"/>
  </r>
  <r>
    <s v="EMP-ID-1080"/>
    <x v="3"/>
    <x v="12"/>
    <x v="2"/>
    <n v="7"/>
    <n v="230"/>
    <n v="1610"/>
    <n v="0.06"/>
    <x v="1"/>
  </r>
  <r>
    <s v="EMP-ID-1081"/>
    <x v="4"/>
    <x v="12"/>
    <x v="1"/>
    <n v="20"/>
    <n v="40"/>
    <n v="800"/>
    <n v="0.03"/>
    <x v="2"/>
  </r>
  <r>
    <s v="EMP-ID-1082"/>
    <x v="2"/>
    <x v="12"/>
    <x v="3"/>
    <n v="11"/>
    <n v="16"/>
    <n v="176"/>
    <n v="0.12"/>
    <x v="12"/>
  </r>
  <r>
    <s v="EMP-ID-1083"/>
    <x v="4"/>
    <x v="12"/>
    <x v="0"/>
    <n v="16"/>
    <n v="80"/>
    <n v="1280"/>
    <n v="0.09"/>
    <x v="4"/>
  </r>
  <r>
    <s v="EMP-ID-1084"/>
    <x v="0"/>
    <x v="12"/>
    <x v="3"/>
    <n v="21"/>
    <n v="16"/>
    <n v="336"/>
    <n v="0.09"/>
    <x v="5"/>
  </r>
  <r>
    <s v="EMP-ID-1085"/>
    <x v="0"/>
    <x v="12"/>
    <x v="3"/>
    <n v="22"/>
    <n v="16"/>
    <n v="352"/>
    <n v="0.01"/>
    <x v="1"/>
  </r>
  <r>
    <s v="EMP-ID-1086"/>
    <x v="3"/>
    <x v="12"/>
    <x v="2"/>
    <n v="23"/>
    <n v="230"/>
    <n v="5290"/>
    <n v="0.06"/>
    <x v="2"/>
  </r>
  <r>
    <s v="EMP-ID-1087"/>
    <x v="0"/>
    <x v="12"/>
    <x v="4"/>
    <n v="9"/>
    <n v="150"/>
    <n v="1350"/>
    <n v="0.1"/>
    <x v="12"/>
  </r>
  <r>
    <s v="EMP-ID-1088"/>
    <x v="2"/>
    <x v="12"/>
    <x v="4"/>
    <n v="9"/>
    <n v="150"/>
    <n v="1350"/>
    <n v="0.06"/>
    <x v="4"/>
  </r>
  <r>
    <s v="EMP-ID-1089"/>
    <x v="0"/>
    <x v="13"/>
    <x v="2"/>
    <n v="9"/>
    <n v="230"/>
    <n v="2070"/>
    <n v="7.0000000000000007E-2"/>
    <x v="5"/>
  </r>
  <r>
    <s v="EMP-ID-1090"/>
    <x v="2"/>
    <x v="13"/>
    <x v="0"/>
    <n v="10"/>
    <n v="80"/>
    <n v="800"/>
    <n v="0.08"/>
    <x v="6"/>
  </r>
  <r>
    <s v="EMP-ID-1091"/>
    <x v="2"/>
    <x v="13"/>
    <x v="3"/>
    <n v="23"/>
    <n v="16"/>
    <n v="368"/>
    <n v="0.11"/>
    <x v="7"/>
  </r>
  <r>
    <s v="EMP-ID-1092"/>
    <x v="3"/>
    <x v="13"/>
    <x v="0"/>
    <n v="22"/>
    <n v="80"/>
    <n v="1760"/>
    <n v="0.03"/>
    <x v="8"/>
  </r>
  <r>
    <s v="EMP-ID-1093"/>
    <x v="3"/>
    <x v="13"/>
    <x v="0"/>
    <n v="4"/>
    <n v="80"/>
    <n v="320"/>
    <n v="0.11"/>
    <x v="9"/>
  </r>
  <r>
    <s v="EMP-ID-1094"/>
    <x v="0"/>
    <x v="13"/>
    <x v="3"/>
    <n v="22"/>
    <n v="16"/>
    <n v="352"/>
    <n v="0.06"/>
    <x v="10"/>
  </r>
  <r>
    <s v="EMP-ID-1095"/>
    <x v="1"/>
    <x v="13"/>
    <x v="1"/>
    <n v="15"/>
    <n v="40"/>
    <n v="600"/>
    <n v="0.02"/>
    <x v="11"/>
  </r>
  <r>
    <s v="EMP-ID-1096"/>
    <x v="4"/>
    <x v="13"/>
    <x v="1"/>
    <n v="7"/>
    <n v="40"/>
    <n v="280"/>
    <n v="0.04"/>
    <x v="0"/>
  </r>
  <r>
    <s v="EMP-ID-1097"/>
    <x v="4"/>
    <x v="13"/>
    <x v="3"/>
    <n v="2"/>
    <n v="16"/>
    <n v="32"/>
    <n v="0.04"/>
    <x v="1"/>
  </r>
  <r>
    <s v="EMP-ID-1098"/>
    <x v="3"/>
    <x v="13"/>
    <x v="0"/>
    <n v="7"/>
    <n v="80"/>
    <n v="560"/>
    <n v="0.02"/>
    <x v="2"/>
  </r>
  <r>
    <s v="EMP-ID-1099"/>
    <x v="4"/>
    <x v="14"/>
    <x v="3"/>
    <n v="22"/>
    <n v="16"/>
    <n v="352"/>
    <n v="0.12"/>
    <x v="12"/>
  </r>
  <r>
    <s v="EMP-ID-1100"/>
    <x v="1"/>
    <x v="14"/>
    <x v="1"/>
    <n v="21"/>
    <n v="40"/>
    <n v="840"/>
    <n v="0.03"/>
    <x v="4"/>
  </r>
  <r>
    <s v="EMP-ID-1101"/>
    <x v="0"/>
    <x v="14"/>
    <x v="0"/>
    <n v="6"/>
    <n v="80"/>
    <n v="480"/>
    <n v="0.01"/>
    <x v="5"/>
  </r>
  <r>
    <s v="EMP-ID-1102"/>
    <x v="4"/>
    <x v="14"/>
    <x v="0"/>
    <n v="13"/>
    <n v="80"/>
    <n v="1040"/>
    <n v="0.05"/>
    <x v="1"/>
  </r>
  <r>
    <s v="EMP-ID-1103"/>
    <x v="3"/>
    <x v="14"/>
    <x v="0"/>
    <n v="11"/>
    <n v="80"/>
    <n v="880"/>
    <n v="0.01"/>
    <x v="2"/>
  </r>
  <r>
    <s v="EMP-ID-1104"/>
    <x v="0"/>
    <x v="14"/>
    <x v="1"/>
    <n v="18"/>
    <n v="40"/>
    <n v="720"/>
    <n v="0.06"/>
    <x v="12"/>
  </r>
  <r>
    <s v="EMP-ID-1105"/>
    <x v="3"/>
    <x v="14"/>
    <x v="4"/>
    <n v="7"/>
    <n v="150"/>
    <n v="1050"/>
    <n v="0.05"/>
    <x v="4"/>
  </r>
  <r>
    <s v="EMP-ID-1106"/>
    <x v="0"/>
    <x v="14"/>
    <x v="1"/>
    <n v="2"/>
    <n v="40"/>
    <n v="80"/>
    <n v="0.12"/>
    <x v="5"/>
  </r>
  <r>
    <s v="EMP-ID-1107"/>
    <x v="1"/>
    <x v="14"/>
    <x v="0"/>
    <n v="14"/>
    <n v="80"/>
    <n v="1120"/>
    <n v="0.06"/>
    <x v="6"/>
  </r>
  <r>
    <s v="EMP-ID-1108"/>
    <x v="4"/>
    <x v="14"/>
    <x v="4"/>
    <n v="7"/>
    <n v="150"/>
    <n v="1050"/>
    <n v="0.03"/>
    <x v="7"/>
  </r>
  <r>
    <s v="EMP-ID-1109"/>
    <x v="3"/>
    <x v="14"/>
    <x v="3"/>
    <n v="10"/>
    <n v="16"/>
    <n v="160"/>
    <n v="0.01"/>
    <x v="8"/>
  </r>
  <r>
    <s v="EMP-ID-1110"/>
    <x v="1"/>
    <x v="15"/>
    <x v="1"/>
    <n v="7"/>
    <n v="40"/>
    <n v="280"/>
    <n v="0.01"/>
    <x v="9"/>
  </r>
  <r>
    <s v="EMP-ID-1111"/>
    <x v="3"/>
    <x v="15"/>
    <x v="3"/>
    <n v="7"/>
    <n v="16"/>
    <n v="112"/>
    <n v="0.08"/>
    <x v="10"/>
  </r>
  <r>
    <s v="EMP-ID-1112"/>
    <x v="2"/>
    <x v="15"/>
    <x v="4"/>
    <n v="15"/>
    <n v="150"/>
    <n v="2250"/>
    <n v="0.05"/>
    <x v="11"/>
  </r>
  <r>
    <s v="EMP-ID-1113"/>
    <x v="0"/>
    <x v="15"/>
    <x v="0"/>
    <n v="7"/>
    <n v="80"/>
    <n v="560"/>
    <n v="0.02"/>
    <x v="0"/>
  </r>
  <r>
    <s v="EMP-ID-1114"/>
    <x v="2"/>
    <x v="15"/>
    <x v="1"/>
    <n v="6"/>
    <n v="40"/>
    <n v="240"/>
    <n v="0.06"/>
    <x v="1"/>
  </r>
  <r>
    <s v="EMP-ID-1115"/>
    <x v="0"/>
    <x v="15"/>
    <x v="2"/>
    <n v="3"/>
    <n v="230"/>
    <n v="690"/>
    <n v="0.06"/>
    <x v="2"/>
  </r>
  <r>
    <s v="EMP-ID-1116"/>
    <x v="2"/>
    <x v="15"/>
    <x v="4"/>
    <n v="20"/>
    <n v="150"/>
    <n v="3000"/>
    <n v="0.04"/>
    <x v="12"/>
  </r>
  <r>
    <s v="EMP-ID-1117"/>
    <x v="2"/>
    <x v="15"/>
    <x v="2"/>
    <n v="20"/>
    <n v="230"/>
    <n v="4600"/>
    <n v="0.06"/>
    <x v="4"/>
  </r>
  <r>
    <s v="EMP-ID-1118"/>
    <x v="2"/>
    <x v="15"/>
    <x v="3"/>
    <n v="14"/>
    <n v="16"/>
    <n v="224"/>
    <n v="0.01"/>
    <x v="5"/>
  </r>
  <r>
    <s v="EMP-ID-1119"/>
    <x v="2"/>
    <x v="15"/>
    <x v="4"/>
    <n v="20"/>
    <n v="150"/>
    <n v="3000"/>
    <n v="0.04"/>
    <x v="1"/>
  </r>
  <r>
    <s v="EMP-ID-1120"/>
    <x v="0"/>
    <x v="15"/>
    <x v="0"/>
    <n v="17"/>
    <n v="80"/>
    <n v="1360"/>
    <n v="0.09"/>
    <x v="2"/>
  </r>
  <r>
    <s v="EMP-ID-1121"/>
    <x v="2"/>
    <x v="16"/>
    <x v="4"/>
    <n v="20"/>
    <n v="150"/>
    <n v="3000"/>
    <n v="0.12"/>
    <x v="12"/>
  </r>
  <r>
    <s v="EMP-ID-1122"/>
    <x v="2"/>
    <x v="16"/>
    <x v="3"/>
    <n v="11"/>
    <n v="16"/>
    <n v="176"/>
    <n v="0.04"/>
    <x v="4"/>
  </r>
  <r>
    <s v="EMP-ID-1123"/>
    <x v="4"/>
    <x v="16"/>
    <x v="2"/>
    <n v="7"/>
    <n v="230"/>
    <n v="1610"/>
    <n v="0.05"/>
    <x v="5"/>
  </r>
  <r>
    <s v="EMP-ID-1124"/>
    <x v="1"/>
    <x v="16"/>
    <x v="1"/>
    <n v="14"/>
    <n v="40"/>
    <n v="560"/>
    <n v="0.06"/>
    <x v="6"/>
  </r>
  <r>
    <s v="EMP-ID-1125"/>
    <x v="1"/>
    <x v="16"/>
    <x v="0"/>
    <n v="13"/>
    <n v="80"/>
    <n v="1040"/>
    <n v="0.06"/>
    <x v="7"/>
  </r>
  <r>
    <s v="EMP-ID-1126"/>
    <x v="2"/>
    <x v="16"/>
    <x v="3"/>
    <n v="17"/>
    <n v="16"/>
    <n v="272"/>
    <n v="0.05"/>
    <x v="8"/>
  </r>
  <r>
    <s v="EMP-ID-1127"/>
    <x v="2"/>
    <x v="16"/>
    <x v="2"/>
    <n v="12"/>
    <n v="230"/>
    <n v="2760"/>
    <n v="0.03"/>
    <x v="9"/>
  </r>
  <r>
    <s v="EMP-ID-1128"/>
    <x v="1"/>
    <x v="16"/>
    <x v="1"/>
    <n v="4"/>
    <n v="40"/>
    <n v="160"/>
    <n v="0.12"/>
    <x v="10"/>
  </r>
  <r>
    <s v="EMP-ID-1129"/>
    <x v="0"/>
    <x v="16"/>
    <x v="3"/>
    <n v="20"/>
    <n v="16"/>
    <n v="320"/>
    <n v="0.01"/>
    <x v="11"/>
  </r>
  <r>
    <s v="EMP-ID-1130"/>
    <x v="3"/>
    <x v="16"/>
    <x v="0"/>
    <n v="8"/>
    <n v="80"/>
    <n v="640"/>
    <n v="0.06"/>
    <x v="0"/>
  </r>
  <r>
    <s v="EMP-ID-1131"/>
    <x v="0"/>
    <x v="16"/>
    <x v="0"/>
    <n v="18"/>
    <n v="80"/>
    <n v="1440"/>
    <n v="0.02"/>
    <x v="1"/>
  </r>
  <r>
    <s v="EMP-ID-1132"/>
    <x v="2"/>
    <x v="16"/>
    <x v="3"/>
    <n v="6"/>
    <n v="16"/>
    <n v="96"/>
    <n v="0.06"/>
    <x v="2"/>
  </r>
  <r>
    <s v="EMP-ID-1133"/>
    <x v="0"/>
    <x v="16"/>
    <x v="0"/>
    <n v="9"/>
    <n v="80"/>
    <n v="720"/>
    <n v="0.04"/>
    <x v="12"/>
  </r>
  <r>
    <s v="EMP-ID-1134"/>
    <x v="2"/>
    <x v="17"/>
    <x v="0"/>
    <n v="8"/>
    <n v="80"/>
    <n v="640"/>
    <n v="0.02"/>
    <x v="4"/>
  </r>
  <r>
    <s v="EMP-ID-1135"/>
    <x v="3"/>
    <x v="17"/>
    <x v="4"/>
    <n v="6"/>
    <n v="150"/>
    <n v="900"/>
    <n v="0.03"/>
    <x v="5"/>
  </r>
  <r>
    <s v="EMP-ID-1136"/>
    <x v="3"/>
    <x v="17"/>
    <x v="3"/>
    <n v="14"/>
    <n v="16"/>
    <n v="224"/>
    <n v="0.12"/>
    <x v="1"/>
  </r>
  <r>
    <s v="EMP-ID-1137"/>
    <x v="2"/>
    <x v="17"/>
    <x v="0"/>
    <n v="6"/>
    <n v="80"/>
    <n v="480"/>
    <n v="0.09"/>
    <x v="2"/>
  </r>
  <r>
    <s v="EMP-ID-1138"/>
    <x v="4"/>
    <x v="17"/>
    <x v="1"/>
    <n v="23"/>
    <n v="40"/>
    <n v="920"/>
    <n v="0.04"/>
    <x v="12"/>
  </r>
  <r>
    <s v="EMP-ID-1139"/>
    <x v="2"/>
    <x v="17"/>
    <x v="1"/>
    <n v="12"/>
    <n v="40"/>
    <n v="480"/>
    <n v="0.02"/>
    <x v="4"/>
  </r>
  <r>
    <s v="EMP-ID-1140"/>
    <x v="3"/>
    <x v="17"/>
    <x v="1"/>
    <n v="22"/>
    <n v="40"/>
    <n v="880"/>
    <n v="0.01"/>
    <x v="5"/>
  </r>
  <r>
    <s v="EMP-ID-1141"/>
    <x v="3"/>
    <x v="17"/>
    <x v="4"/>
    <n v="6"/>
    <n v="150"/>
    <n v="900"/>
    <n v="0.03"/>
    <x v="6"/>
  </r>
  <r>
    <s v="EMP-ID-1142"/>
    <x v="4"/>
    <x v="17"/>
    <x v="3"/>
    <n v="19"/>
    <n v="16"/>
    <n v="304"/>
    <n v="0.02"/>
    <x v="7"/>
  </r>
  <r>
    <s v="EMP-ID-1143"/>
    <x v="2"/>
    <x v="17"/>
    <x v="1"/>
    <n v="2"/>
    <n v="40"/>
    <n v="80"/>
    <n v="0.02"/>
    <x v="8"/>
  </r>
  <r>
    <s v="EMP-ID-1144"/>
    <x v="3"/>
    <x v="18"/>
    <x v="1"/>
    <n v="22"/>
    <n v="40"/>
    <n v="880"/>
    <n v="0.01"/>
    <x v="9"/>
  </r>
  <r>
    <s v="EMP-ID-1145"/>
    <x v="3"/>
    <x v="18"/>
    <x v="2"/>
    <n v="3"/>
    <n v="230"/>
    <n v="690"/>
    <n v="0.01"/>
    <x v="10"/>
  </r>
  <r>
    <s v="EMP-ID-1146"/>
    <x v="3"/>
    <x v="18"/>
    <x v="1"/>
    <n v="23"/>
    <n v="40"/>
    <n v="920"/>
    <n v="0.06"/>
    <x v="11"/>
  </r>
  <r>
    <s v="EMP-ID-1147"/>
    <x v="4"/>
    <x v="18"/>
    <x v="1"/>
    <n v="5"/>
    <n v="40"/>
    <n v="200"/>
    <n v="0.03"/>
    <x v="0"/>
  </r>
  <r>
    <s v="EMP-ID-1148"/>
    <x v="0"/>
    <x v="18"/>
    <x v="0"/>
    <n v="8"/>
    <n v="80"/>
    <n v="640"/>
    <n v="0.08"/>
    <x v="1"/>
  </r>
  <r>
    <s v="EMP-ID-1149"/>
    <x v="2"/>
    <x v="18"/>
    <x v="1"/>
    <n v="18"/>
    <n v="40"/>
    <n v="720"/>
    <n v="0.03"/>
    <x v="2"/>
  </r>
  <r>
    <s v="EMP-ID-1150"/>
    <x v="4"/>
    <x v="18"/>
    <x v="1"/>
    <n v="20"/>
    <n v="40"/>
    <n v="800"/>
    <n v="0.1"/>
    <x v="12"/>
  </r>
  <r>
    <s v="EMP-ID-1151"/>
    <x v="2"/>
    <x v="18"/>
    <x v="1"/>
    <n v="2"/>
    <n v="40"/>
    <n v="80"/>
    <n v="0.03"/>
    <x v="4"/>
  </r>
  <r>
    <s v="EMP-ID-1152"/>
    <x v="0"/>
    <x v="18"/>
    <x v="2"/>
    <n v="15"/>
    <n v="230"/>
    <n v="3450"/>
    <n v="0.05"/>
    <x v="5"/>
  </r>
  <r>
    <s v="EMP-ID-1153"/>
    <x v="3"/>
    <x v="18"/>
    <x v="4"/>
    <n v="15"/>
    <n v="150"/>
    <n v="2250"/>
    <n v="0.08"/>
    <x v="1"/>
  </r>
  <r>
    <s v="EMP-ID-1154"/>
    <x v="3"/>
    <x v="18"/>
    <x v="4"/>
    <n v="22"/>
    <n v="150"/>
    <n v="3300"/>
    <n v="0.05"/>
    <x v="2"/>
  </r>
  <r>
    <s v="EMP-ID-1155"/>
    <x v="1"/>
    <x v="18"/>
    <x v="2"/>
    <n v="19"/>
    <n v="230"/>
    <n v="4370"/>
    <n v="0.11"/>
    <x v="12"/>
  </r>
  <r>
    <s v="EMP-ID-1156"/>
    <x v="1"/>
    <x v="18"/>
    <x v="0"/>
    <n v="10"/>
    <n v="80"/>
    <n v="800"/>
    <n v="0.11"/>
    <x v="4"/>
  </r>
  <r>
    <s v="EMP-ID-1157"/>
    <x v="3"/>
    <x v="18"/>
    <x v="1"/>
    <n v="18"/>
    <n v="40"/>
    <n v="720"/>
    <n v="0.06"/>
    <x v="5"/>
  </r>
  <r>
    <s v="EMP-ID-1158"/>
    <x v="3"/>
    <x v="18"/>
    <x v="0"/>
    <n v="16"/>
    <n v="80"/>
    <n v="1280"/>
    <n v="0.05"/>
    <x v="6"/>
  </r>
  <r>
    <s v="EMP-ID-1159"/>
    <x v="4"/>
    <x v="18"/>
    <x v="4"/>
    <n v="17"/>
    <n v="150"/>
    <n v="2550"/>
    <n v="0.02"/>
    <x v="7"/>
  </r>
  <r>
    <s v="EMP-ID-1160"/>
    <x v="0"/>
    <x v="19"/>
    <x v="2"/>
    <n v="8"/>
    <n v="230"/>
    <n v="1840"/>
    <n v="0.03"/>
    <x v="8"/>
  </r>
  <r>
    <s v="EMP-ID-1161"/>
    <x v="3"/>
    <x v="19"/>
    <x v="0"/>
    <n v="11"/>
    <n v="80"/>
    <n v="880"/>
    <n v="0.01"/>
    <x v="9"/>
  </r>
  <r>
    <s v="EMP-ID-1162"/>
    <x v="0"/>
    <x v="19"/>
    <x v="1"/>
    <n v="5"/>
    <n v="40"/>
    <n v="200"/>
    <n v="0.06"/>
    <x v="10"/>
  </r>
  <r>
    <s v="EMP-ID-1163"/>
    <x v="4"/>
    <x v="19"/>
    <x v="1"/>
    <n v="11"/>
    <n v="40"/>
    <n v="440"/>
    <n v="0.05"/>
    <x v="11"/>
  </r>
  <r>
    <s v="EMP-ID-1164"/>
    <x v="3"/>
    <x v="19"/>
    <x v="4"/>
    <n v="20"/>
    <n v="150"/>
    <n v="3000"/>
    <n v="0.1"/>
    <x v="0"/>
  </r>
  <r>
    <s v="EMP-ID-1165"/>
    <x v="2"/>
    <x v="19"/>
    <x v="4"/>
    <n v="11"/>
    <n v="150"/>
    <n v="1650"/>
    <n v="0.11"/>
    <x v="1"/>
  </r>
  <r>
    <s v="EMP-ID-1166"/>
    <x v="3"/>
    <x v="19"/>
    <x v="0"/>
    <n v="2"/>
    <n v="80"/>
    <n v="160"/>
    <n v="0.08"/>
    <x v="2"/>
  </r>
  <r>
    <s v="EMP-ID-1167"/>
    <x v="1"/>
    <x v="19"/>
    <x v="4"/>
    <n v="16"/>
    <n v="150"/>
    <n v="2400"/>
    <n v="0.08"/>
    <x v="12"/>
  </r>
  <r>
    <s v="EMP-ID-1168"/>
    <x v="0"/>
    <x v="19"/>
    <x v="3"/>
    <n v="20"/>
    <n v="16"/>
    <n v="320"/>
    <n v="0.11"/>
    <x v="4"/>
  </r>
  <r>
    <s v="EMP-ID-1169"/>
    <x v="2"/>
    <x v="19"/>
    <x v="2"/>
    <n v="2"/>
    <n v="230"/>
    <n v="460"/>
    <n v="0.09"/>
    <x v="5"/>
  </r>
  <r>
    <s v="EMP-ID-1170"/>
    <x v="0"/>
    <x v="19"/>
    <x v="4"/>
    <n v="20"/>
    <n v="150"/>
    <n v="3000"/>
    <n v="0.04"/>
    <x v="1"/>
  </r>
  <r>
    <s v="EMP-ID-1171"/>
    <x v="0"/>
    <x v="19"/>
    <x v="4"/>
    <n v="22"/>
    <n v="150"/>
    <n v="3300"/>
    <n v="7.0000000000000007E-2"/>
    <x v="2"/>
  </r>
  <r>
    <s v="EMP-ID-1172"/>
    <x v="2"/>
    <x v="19"/>
    <x v="4"/>
    <n v="22"/>
    <n v="150"/>
    <n v="3300"/>
    <n v="0.04"/>
    <x v="12"/>
  </r>
  <r>
    <s v="EMP-ID-1173"/>
    <x v="0"/>
    <x v="19"/>
    <x v="1"/>
    <n v="23"/>
    <n v="40"/>
    <n v="920"/>
    <n v="7.0000000000000007E-2"/>
    <x v="4"/>
  </r>
  <r>
    <s v="EMP-ID-1174"/>
    <x v="2"/>
    <x v="20"/>
    <x v="3"/>
    <n v="11"/>
    <n v="16"/>
    <n v="176"/>
    <n v="0.04"/>
    <x v="5"/>
  </r>
  <r>
    <s v="EMP-ID-1175"/>
    <x v="1"/>
    <x v="20"/>
    <x v="2"/>
    <n v="11"/>
    <n v="230"/>
    <n v="2530"/>
    <n v="0.1"/>
    <x v="6"/>
  </r>
  <r>
    <s v="EMP-ID-1176"/>
    <x v="0"/>
    <x v="20"/>
    <x v="2"/>
    <n v="7"/>
    <n v="230"/>
    <n v="1610"/>
    <n v="0.08"/>
    <x v="7"/>
  </r>
  <r>
    <s v="EMP-ID-1177"/>
    <x v="1"/>
    <x v="20"/>
    <x v="4"/>
    <n v="13"/>
    <n v="150"/>
    <n v="1950"/>
    <n v="0.08"/>
    <x v="8"/>
  </r>
  <r>
    <s v="EMP-ID-1178"/>
    <x v="3"/>
    <x v="20"/>
    <x v="2"/>
    <n v="16"/>
    <n v="230"/>
    <n v="3680"/>
    <n v="0.11"/>
    <x v="9"/>
  </r>
  <r>
    <s v="EMP-ID-1179"/>
    <x v="4"/>
    <x v="20"/>
    <x v="2"/>
    <n v="20"/>
    <n v="230"/>
    <n v="4600"/>
    <n v="0.09"/>
    <x v="10"/>
  </r>
  <r>
    <s v="EMP-ID-1180"/>
    <x v="2"/>
    <x v="20"/>
    <x v="1"/>
    <n v="20"/>
    <n v="40"/>
    <n v="800"/>
    <n v="0.01"/>
    <x v="11"/>
  </r>
  <r>
    <s v="EMP-ID-1181"/>
    <x v="0"/>
    <x v="20"/>
    <x v="0"/>
    <n v="20"/>
    <n v="80"/>
    <n v="1600"/>
    <n v="0.01"/>
    <x v="0"/>
  </r>
  <r>
    <s v="EMP-ID-1182"/>
    <x v="0"/>
    <x v="20"/>
    <x v="4"/>
    <n v="5"/>
    <n v="150"/>
    <n v="750"/>
    <n v="0.11"/>
    <x v="1"/>
  </r>
  <r>
    <s v="EMP-ID-1183"/>
    <x v="2"/>
    <x v="21"/>
    <x v="1"/>
    <n v="4"/>
    <n v="40"/>
    <n v="160"/>
    <n v="0.11"/>
    <x v="2"/>
  </r>
  <r>
    <s v="EMP-ID-1184"/>
    <x v="0"/>
    <x v="21"/>
    <x v="3"/>
    <n v="7"/>
    <n v="16"/>
    <n v="112"/>
    <n v="0.12"/>
    <x v="12"/>
  </r>
  <r>
    <s v="EMP-ID-1185"/>
    <x v="1"/>
    <x v="21"/>
    <x v="3"/>
    <n v="22"/>
    <n v="16"/>
    <n v="352"/>
    <n v="0.01"/>
    <x v="4"/>
  </r>
  <r>
    <s v="EMP-ID-1186"/>
    <x v="3"/>
    <x v="21"/>
    <x v="1"/>
    <n v="15"/>
    <n v="40"/>
    <n v="600"/>
    <n v="0.03"/>
    <x v="5"/>
  </r>
  <r>
    <s v="EMP-ID-1187"/>
    <x v="1"/>
    <x v="21"/>
    <x v="0"/>
    <n v="14"/>
    <n v="80"/>
    <n v="1120"/>
    <n v="0.11"/>
    <x v="1"/>
  </r>
  <r>
    <s v="EMP-ID-1188"/>
    <x v="1"/>
    <x v="21"/>
    <x v="3"/>
    <n v="15"/>
    <n v="16"/>
    <n v="240"/>
    <n v="0.02"/>
    <x v="2"/>
  </r>
  <r>
    <s v="EMP-ID-1189"/>
    <x v="3"/>
    <x v="22"/>
    <x v="0"/>
    <n v="19"/>
    <n v="80"/>
    <n v="1520"/>
    <n v="0.02"/>
    <x v="12"/>
  </r>
  <r>
    <s v="EMP-ID-1190"/>
    <x v="4"/>
    <x v="22"/>
    <x v="1"/>
    <n v="20"/>
    <n v="40"/>
    <n v="800"/>
    <n v="0.05"/>
    <x v="4"/>
  </r>
  <r>
    <s v="EMP-ID-1191"/>
    <x v="3"/>
    <x v="22"/>
    <x v="1"/>
    <n v="11"/>
    <n v="40"/>
    <n v="440"/>
    <n v="0.06"/>
    <x v="5"/>
  </r>
  <r>
    <s v="EMP-ID-1192"/>
    <x v="2"/>
    <x v="22"/>
    <x v="4"/>
    <n v="11"/>
    <n v="150"/>
    <n v="1650"/>
    <n v="0.05"/>
    <x v="6"/>
  </r>
  <r>
    <s v="EMP-ID-1193"/>
    <x v="3"/>
    <x v="22"/>
    <x v="0"/>
    <n v="23"/>
    <n v="80"/>
    <n v="1840"/>
    <n v="0.11"/>
    <x v="7"/>
  </r>
  <r>
    <s v="EMP-ID-1194"/>
    <x v="0"/>
    <x v="22"/>
    <x v="0"/>
    <n v="8"/>
    <n v="80"/>
    <n v="640"/>
    <n v="0.09"/>
    <x v="8"/>
  </r>
  <r>
    <s v="EMP-ID-1195"/>
    <x v="3"/>
    <x v="22"/>
    <x v="1"/>
    <n v="9"/>
    <n v="40"/>
    <n v="360"/>
    <n v="0.06"/>
    <x v="9"/>
  </r>
  <r>
    <s v="EMP-ID-1196"/>
    <x v="4"/>
    <x v="22"/>
    <x v="2"/>
    <n v="13"/>
    <n v="230"/>
    <n v="2990"/>
    <n v="0.06"/>
    <x v="10"/>
  </r>
  <r>
    <s v="EMP-ID-1197"/>
    <x v="3"/>
    <x v="22"/>
    <x v="1"/>
    <n v="22"/>
    <n v="40"/>
    <n v="880"/>
    <n v="0.01"/>
    <x v="11"/>
  </r>
  <r>
    <s v="EMP-ID-1198"/>
    <x v="4"/>
    <x v="22"/>
    <x v="3"/>
    <n v="14"/>
    <n v="16"/>
    <n v="224"/>
    <n v="0.06"/>
    <x v="0"/>
  </r>
  <r>
    <s v="EMP-ID-1199"/>
    <x v="1"/>
    <x v="23"/>
    <x v="0"/>
    <n v="5"/>
    <n v="80"/>
    <n v="400"/>
    <n v="0.04"/>
    <x v="1"/>
  </r>
  <r>
    <s v="EMP-ID-1200"/>
    <x v="4"/>
    <x v="23"/>
    <x v="4"/>
    <n v="18"/>
    <n v="150"/>
    <n v="2700"/>
    <n v="0.12"/>
    <x v="2"/>
  </r>
  <r>
    <s v="EMP-ID-1201"/>
    <x v="2"/>
    <x v="23"/>
    <x v="2"/>
    <n v="14"/>
    <n v="230"/>
    <n v="3220"/>
    <n v="0.12"/>
    <x v="12"/>
  </r>
  <r>
    <s v="EMP-ID-1202"/>
    <x v="4"/>
    <x v="23"/>
    <x v="2"/>
    <n v="20"/>
    <n v="230"/>
    <n v="4600"/>
    <n v="0.11"/>
    <x v="4"/>
  </r>
  <r>
    <s v="EMP-ID-1203"/>
    <x v="4"/>
    <x v="23"/>
    <x v="3"/>
    <n v="3"/>
    <n v="16"/>
    <n v="48"/>
    <n v="0.03"/>
    <x v="5"/>
  </r>
  <r>
    <s v="EMP-ID-1204"/>
    <x v="2"/>
    <x v="23"/>
    <x v="2"/>
    <n v="20"/>
    <n v="230"/>
    <n v="4600"/>
    <n v="0.06"/>
    <x v="1"/>
  </r>
  <r>
    <s v="EMP-ID-1205"/>
    <x v="4"/>
    <x v="23"/>
    <x v="0"/>
    <n v="9"/>
    <n v="80"/>
    <n v="720"/>
    <n v="0.02"/>
    <x v="2"/>
  </r>
  <r>
    <s v="EMP-ID-1206"/>
    <x v="3"/>
    <x v="23"/>
    <x v="3"/>
    <n v="22"/>
    <n v="16"/>
    <n v="352"/>
    <n v="0.03"/>
    <x v="12"/>
  </r>
  <r>
    <s v="EMP-ID-1207"/>
    <x v="1"/>
    <x v="23"/>
    <x v="0"/>
    <n v="15"/>
    <n v="80"/>
    <n v="1200"/>
    <n v="0.12"/>
    <x v="4"/>
  </r>
  <r>
    <s v="EMP-ID-1208"/>
    <x v="0"/>
    <x v="23"/>
    <x v="4"/>
    <n v="11"/>
    <n v="150"/>
    <n v="1650"/>
    <n v="0.05"/>
    <x v="5"/>
  </r>
  <r>
    <s v="EMP-ID-1209"/>
    <x v="3"/>
    <x v="23"/>
    <x v="2"/>
    <n v="11"/>
    <n v="230"/>
    <n v="2530"/>
    <n v="0.12"/>
    <x v="6"/>
  </r>
  <r>
    <s v="EMP-ID-1210"/>
    <x v="0"/>
    <x v="23"/>
    <x v="4"/>
    <n v="20"/>
    <n v="150"/>
    <n v="3000"/>
    <n v="0.01"/>
    <x v="7"/>
  </r>
  <r>
    <s v="EMP-ID-1211"/>
    <x v="2"/>
    <x v="23"/>
    <x v="1"/>
    <n v="11"/>
    <n v="40"/>
    <n v="440"/>
    <n v="0.12"/>
    <x v="8"/>
  </r>
  <r>
    <s v="EMP-ID-1212"/>
    <x v="2"/>
    <x v="24"/>
    <x v="2"/>
    <n v="12"/>
    <n v="230"/>
    <n v="2760"/>
    <n v="0.06"/>
    <x v="9"/>
  </r>
  <r>
    <s v="EMP-ID-1213"/>
    <x v="0"/>
    <x v="24"/>
    <x v="1"/>
    <n v="15"/>
    <n v="40"/>
    <n v="600"/>
    <n v="0.06"/>
    <x v="10"/>
  </r>
  <r>
    <s v="EMP-ID-1214"/>
    <x v="3"/>
    <x v="24"/>
    <x v="1"/>
    <n v="13"/>
    <n v="40"/>
    <n v="520"/>
    <n v="0.09"/>
    <x v="11"/>
  </r>
  <r>
    <s v="EMP-ID-1215"/>
    <x v="4"/>
    <x v="24"/>
    <x v="1"/>
    <n v="4"/>
    <n v="40"/>
    <n v="160"/>
    <n v="0.09"/>
    <x v="0"/>
  </r>
  <r>
    <s v="EMP-ID-1216"/>
    <x v="3"/>
    <x v="24"/>
    <x v="2"/>
    <n v="18"/>
    <n v="230"/>
    <n v="4140"/>
    <n v="0.01"/>
    <x v="1"/>
  </r>
  <r>
    <s v="EMP-ID-1217"/>
    <x v="0"/>
    <x v="24"/>
    <x v="3"/>
    <n v="7"/>
    <n v="16"/>
    <n v="112"/>
    <n v="0.02"/>
    <x v="2"/>
  </r>
  <r>
    <s v="EMP-ID-1218"/>
    <x v="2"/>
    <x v="24"/>
    <x v="3"/>
    <n v="6"/>
    <n v="16"/>
    <n v="96"/>
    <n v="7.0000000000000007E-2"/>
    <x v="12"/>
  </r>
  <r>
    <s v="EMP-ID-1219"/>
    <x v="3"/>
    <x v="24"/>
    <x v="2"/>
    <n v="8"/>
    <n v="230"/>
    <n v="1840"/>
    <n v="0.05"/>
    <x v="4"/>
  </r>
  <r>
    <s v="EMP-ID-1220"/>
    <x v="2"/>
    <x v="24"/>
    <x v="3"/>
    <n v="12"/>
    <n v="16"/>
    <n v="192"/>
    <n v="0.11"/>
    <x v="5"/>
  </r>
  <r>
    <s v="EMP-ID-1221"/>
    <x v="0"/>
    <x v="24"/>
    <x v="2"/>
    <n v="11"/>
    <n v="230"/>
    <n v="2530"/>
    <n v="0.02"/>
    <x v="1"/>
  </r>
  <r>
    <s v="EMP-ID-1222"/>
    <x v="2"/>
    <x v="24"/>
    <x v="3"/>
    <n v="3"/>
    <n v="16"/>
    <n v="48"/>
    <n v="0.05"/>
    <x v="2"/>
  </r>
  <r>
    <s v="EMP-ID-1223"/>
    <x v="1"/>
    <x v="25"/>
    <x v="4"/>
    <n v="16"/>
    <n v="150"/>
    <n v="2400"/>
    <n v="0.05"/>
    <x v="12"/>
  </r>
  <r>
    <s v="EMP-ID-1224"/>
    <x v="3"/>
    <x v="25"/>
    <x v="2"/>
    <n v="8"/>
    <n v="230"/>
    <n v="1840"/>
    <n v="0.01"/>
    <x v="4"/>
  </r>
  <r>
    <s v="EMP-ID-1225"/>
    <x v="2"/>
    <x v="25"/>
    <x v="0"/>
    <n v="16"/>
    <n v="80"/>
    <n v="1280"/>
    <n v="0.04"/>
    <x v="5"/>
  </r>
  <r>
    <s v="EMP-ID-1226"/>
    <x v="3"/>
    <x v="25"/>
    <x v="3"/>
    <n v="18"/>
    <n v="16"/>
    <n v="288"/>
    <n v="0.04"/>
    <x v="6"/>
  </r>
  <r>
    <s v="EMP-ID-1227"/>
    <x v="4"/>
    <x v="25"/>
    <x v="1"/>
    <n v="14"/>
    <n v="40"/>
    <n v="560"/>
    <n v="0.11"/>
    <x v="7"/>
  </r>
  <r>
    <s v="EMP-ID-1228"/>
    <x v="1"/>
    <x v="25"/>
    <x v="3"/>
    <n v="21"/>
    <n v="16"/>
    <n v="336"/>
    <n v="0.02"/>
    <x v="8"/>
  </r>
  <r>
    <s v="EMP-ID-1229"/>
    <x v="1"/>
    <x v="25"/>
    <x v="3"/>
    <n v="7"/>
    <n v="16"/>
    <n v="112"/>
    <n v="0.08"/>
    <x v="9"/>
  </r>
  <r>
    <s v="EMP-ID-1230"/>
    <x v="2"/>
    <x v="25"/>
    <x v="0"/>
    <n v="7"/>
    <n v="80"/>
    <n v="560"/>
    <n v="0.05"/>
    <x v="10"/>
  </r>
  <r>
    <s v="EMP-ID-1231"/>
    <x v="4"/>
    <x v="25"/>
    <x v="1"/>
    <n v="16"/>
    <n v="40"/>
    <n v="640"/>
    <n v="0.09"/>
    <x v="11"/>
  </r>
  <r>
    <s v="EMP-ID-1232"/>
    <x v="4"/>
    <x v="25"/>
    <x v="2"/>
    <n v="22"/>
    <n v="230"/>
    <n v="5060"/>
    <n v="0.1"/>
    <x v="0"/>
  </r>
  <r>
    <s v="EMP-ID-1233"/>
    <x v="1"/>
    <x v="25"/>
    <x v="1"/>
    <n v="4"/>
    <n v="40"/>
    <n v="160"/>
    <n v="0.03"/>
    <x v="1"/>
  </r>
  <r>
    <s v="EMP-ID-1234"/>
    <x v="4"/>
    <x v="25"/>
    <x v="2"/>
    <n v="3"/>
    <n v="230"/>
    <n v="690"/>
    <n v="0.1"/>
    <x v="2"/>
  </r>
  <r>
    <s v="EMP-ID-1235"/>
    <x v="1"/>
    <x v="25"/>
    <x v="0"/>
    <n v="14"/>
    <n v="80"/>
    <n v="1120"/>
    <n v="0.11"/>
    <x v="12"/>
  </r>
  <r>
    <s v="EMP-ID-1236"/>
    <x v="4"/>
    <x v="26"/>
    <x v="1"/>
    <n v="21"/>
    <n v="40"/>
    <n v="840"/>
    <n v="0.01"/>
    <x v="4"/>
  </r>
  <r>
    <s v="EMP-ID-1237"/>
    <x v="1"/>
    <x v="26"/>
    <x v="3"/>
    <n v="20"/>
    <n v="16"/>
    <n v="320"/>
    <n v="0.06"/>
    <x v="5"/>
  </r>
  <r>
    <s v="EMP-ID-1238"/>
    <x v="4"/>
    <x v="26"/>
    <x v="0"/>
    <n v="22"/>
    <n v="80"/>
    <n v="1760"/>
    <n v="0.11"/>
    <x v="1"/>
  </r>
  <r>
    <s v="EMP-ID-1239"/>
    <x v="0"/>
    <x v="26"/>
    <x v="1"/>
    <n v="7"/>
    <n v="40"/>
    <n v="280"/>
    <n v="0.1"/>
    <x v="2"/>
  </r>
  <r>
    <s v="EMP-ID-1240"/>
    <x v="1"/>
    <x v="26"/>
    <x v="4"/>
    <n v="16"/>
    <n v="150"/>
    <n v="2400"/>
    <n v="0.05"/>
    <x v="12"/>
  </r>
  <r>
    <s v="EMP-ID-1241"/>
    <x v="1"/>
    <x v="26"/>
    <x v="2"/>
    <n v="7"/>
    <n v="230"/>
    <n v="1610"/>
    <n v="0.05"/>
    <x v="4"/>
  </r>
  <r>
    <s v="EMP-ID-1242"/>
    <x v="0"/>
    <x v="26"/>
    <x v="4"/>
    <n v="20"/>
    <n v="150"/>
    <n v="3000"/>
    <n v="0.03"/>
    <x v="5"/>
  </r>
  <r>
    <s v="EMP-ID-1243"/>
    <x v="1"/>
    <x v="26"/>
    <x v="4"/>
    <n v="16"/>
    <n v="150"/>
    <n v="2400"/>
    <n v="0.03"/>
    <x v="6"/>
  </r>
  <r>
    <s v="EMP-ID-1244"/>
    <x v="3"/>
    <x v="26"/>
    <x v="3"/>
    <n v="10"/>
    <n v="16"/>
    <n v="160"/>
    <n v="0.04"/>
    <x v="7"/>
  </r>
  <r>
    <s v="EMP-ID-1245"/>
    <x v="4"/>
    <x v="26"/>
    <x v="0"/>
    <n v="6"/>
    <n v="80"/>
    <n v="480"/>
    <n v="0.09"/>
    <x v="8"/>
  </r>
  <r>
    <s v="EMP-ID-1246"/>
    <x v="0"/>
    <x v="26"/>
    <x v="0"/>
    <n v="17"/>
    <n v="80"/>
    <n v="1360"/>
    <n v="0.09"/>
    <x v="9"/>
  </r>
  <r>
    <s v="EMP-ID-1247"/>
    <x v="0"/>
    <x v="26"/>
    <x v="1"/>
    <n v="19"/>
    <n v="40"/>
    <n v="760"/>
    <n v="0.04"/>
    <x v="10"/>
  </r>
  <r>
    <s v="EMP-ID-1248"/>
    <x v="4"/>
    <x v="26"/>
    <x v="1"/>
    <n v="16"/>
    <n v="40"/>
    <n v="640"/>
    <n v="0.09"/>
    <x v="11"/>
  </r>
  <r>
    <s v="EMP-ID-1249"/>
    <x v="0"/>
    <x v="26"/>
    <x v="3"/>
    <n v="4"/>
    <n v="16"/>
    <n v="64"/>
    <n v="0.12"/>
    <x v="0"/>
  </r>
  <r>
    <s v="EMP-ID-1250"/>
    <x v="3"/>
    <x v="26"/>
    <x v="4"/>
    <n v="9"/>
    <n v="150"/>
    <n v="1350"/>
    <n v="0.02"/>
    <x v="1"/>
  </r>
  <r>
    <s v="EMP-ID-1251"/>
    <x v="0"/>
    <x v="26"/>
    <x v="3"/>
    <n v="11"/>
    <n v="16"/>
    <n v="176"/>
    <n v="0.09"/>
    <x v="2"/>
  </r>
  <r>
    <s v="EMP-ID-1252"/>
    <x v="1"/>
    <x v="26"/>
    <x v="0"/>
    <n v="17"/>
    <n v="80"/>
    <n v="1360"/>
    <n v="0.03"/>
    <x v="12"/>
  </r>
  <r>
    <s v="EMP-ID-1253"/>
    <x v="0"/>
    <x v="27"/>
    <x v="4"/>
    <n v="3"/>
    <n v="150"/>
    <n v="450"/>
    <n v="0.03"/>
    <x v="4"/>
  </r>
  <r>
    <s v="EMP-ID-1254"/>
    <x v="3"/>
    <x v="27"/>
    <x v="2"/>
    <n v="2"/>
    <n v="230"/>
    <n v="460"/>
    <n v="0.08"/>
    <x v="5"/>
  </r>
  <r>
    <s v="EMP-ID-1255"/>
    <x v="3"/>
    <x v="27"/>
    <x v="2"/>
    <n v="17"/>
    <n v="230"/>
    <n v="3910"/>
    <n v="0.12"/>
    <x v="1"/>
  </r>
  <r>
    <s v="EMP-ID-1256"/>
    <x v="1"/>
    <x v="27"/>
    <x v="4"/>
    <n v="2"/>
    <n v="150"/>
    <n v="300"/>
    <n v="0.09"/>
    <x v="2"/>
  </r>
  <r>
    <s v="EMP-ID-1257"/>
    <x v="3"/>
    <x v="27"/>
    <x v="1"/>
    <n v="18"/>
    <n v="40"/>
    <n v="720"/>
    <n v="0.06"/>
    <x v="12"/>
  </r>
  <r>
    <s v="EMP-ID-1258"/>
    <x v="2"/>
    <x v="27"/>
    <x v="4"/>
    <n v="18"/>
    <n v="150"/>
    <n v="2700"/>
    <n v="0.06"/>
    <x v="4"/>
  </r>
  <r>
    <s v="EMP-ID-1259"/>
    <x v="1"/>
    <x v="27"/>
    <x v="1"/>
    <n v="12"/>
    <n v="40"/>
    <n v="480"/>
    <n v="0.1"/>
    <x v="5"/>
  </r>
  <r>
    <s v="EMP-ID-1260"/>
    <x v="0"/>
    <x v="27"/>
    <x v="0"/>
    <n v="21"/>
    <n v="80"/>
    <n v="1680"/>
    <n v="0.04"/>
    <x v="6"/>
  </r>
  <r>
    <s v="EMP-ID-1261"/>
    <x v="4"/>
    <x v="27"/>
    <x v="1"/>
    <n v="3"/>
    <n v="40"/>
    <n v="120"/>
    <n v="0.03"/>
    <x v="7"/>
  </r>
  <r>
    <s v="EMP-ID-1262"/>
    <x v="4"/>
    <x v="27"/>
    <x v="0"/>
    <n v="22"/>
    <n v="80"/>
    <n v="1760"/>
    <n v="0.1"/>
    <x v="8"/>
  </r>
  <r>
    <s v="EMP-ID-1263"/>
    <x v="4"/>
    <x v="27"/>
    <x v="1"/>
    <n v="16"/>
    <n v="40"/>
    <n v="640"/>
    <n v="0.11"/>
    <x v="9"/>
  </r>
  <r>
    <s v="EMP-ID-1264"/>
    <x v="0"/>
    <x v="27"/>
    <x v="3"/>
    <n v="11"/>
    <n v="16"/>
    <n v="176"/>
    <n v="0.09"/>
    <x v="10"/>
  </r>
  <r>
    <s v="EMP-ID-1265"/>
    <x v="2"/>
    <x v="28"/>
    <x v="0"/>
    <n v="10"/>
    <n v="80"/>
    <n v="800"/>
    <n v="0.08"/>
    <x v="11"/>
  </r>
  <r>
    <s v="EMP-ID-1266"/>
    <x v="2"/>
    <x v="28"/>
    <x v="3"/>
    <n v="12"/>
    <n v="16"/>
    <n v="192"/>
    <n v="0.03"/>
    <x v="0"/>
  </r>
  <r>
    <s v="EMP-ID-1267"/>
    <x v="0"/>
    <x v="28"/>
    <x v="4"/>
    <n v="8"/>
    <n v="150"/>
    <n v="1200"/>
    <n v="0.09"/>
    <x v="1"/>
  </r>
  <r>
    <s v="EMP-ID-1268"/>
    <x v="4"/>
    <x v="28"/>
    <x v="1"/>
    <n v="10"/>
    <n v="40"/>
    <n v="400"/>
    <n v="0.03"/>
    <x v="2"/>
  </r>
  <r>
    <s v="EMP-ID-1269"/>
    <x v="0"/>
    <x v="28"/>
    <x v="4"/>
    <n v="7"/>
    <n v="150"/>
    <n v="1050"/>
    <n v="0.02"/>
    <x v="12"/>
  </r>
  <r>
    <s v="EMP-ID-1270"/>
    <x v="2"/>
    <x v="28"/>
    <x v="3"/>
    <n v="6"/>
    <n v="16"/>
    <n v="96"/>
    <n v="0.01"/>
    <x v="4"/>
  </r>
  <r>
    <s v="EMP-ID-1271"/>
    <x v="3"/>
    <x v="28"/>
    <x v="0"/>
    <n v="15"/>
    <n v="80"/>
    <n v="1200"/>
    <n v="0.08"/>
    <x v="5"/>
  </r>
  <r>
    <s v="EMP-ID-1272"/>
    <x v="4"/>
    <x v="28"/>
    <x v="3"/>
    <n v="13"/>
    <n v="16"/>
    <n v="208"/>
    <n v="7.0000000000000007E-2"/>
    <x v="1"/>
  </r>
  <r>
    <s v="EMP-ID-1273"/>
    <x v="3"/>
    <x v="28"/>
    <x v="2"/>
    <n v="19"/>
    <n v="230"/>
    <n v="4370"/>
    <n v="0.06"/>
    <x v="2"/>
  </r>
  <r>
    <s v="EMP-ID-1274"/>
    <x v="3"/>
    <x v="28"/>
    <x v="0"/>
    <n v="21"/>
    <n v="80"/>
    <n v="1680"/>
    <n v="0.05"/>
    <x v="12"/>
  </r>
  <r>
    <s v="EMP-ID-1275"/>
    <x v="1"/>
    <x v="28"/>
    <x v="0"/>
    <n v="5"/>
    <n v="80"/>
    <n v="400"/>
    <n v="7.0000000000000007E-2"/>
    <x v="4"/>
  </r>
  <r>
    <s v="EMP-ID-1276"/>
    <x v="2"/>
    <x v="28"/>
    <x v="3"/>
    <n v="8"/>
    <n v="16"/>
    <n v="128"/>
    <n v="0.03"/>
    <x v="5"/>
  </r>
  <r>
    <s v="EMP-ID-1277"/>
    <x v="2"/>
    <x v="28"/>
    <x v="3"/>
    <n v="12"/>
    <n v="16"/>
    <n v="192"/>
    <n v="0.11"/>
    <x v="6"/>
  </r>
  <r>
    <s v="EMP-ID-1278"/>
    <x v="3"/>
    <x v="28"/>
    <x v="0"/>
    <n v="22"/>
    <n v="80"/>
    <n v="1760"/>
    <n v="0.03"/>
    <x v="7"/>
  </r>
  <r>
    <s v="EMP-ID-1279"/>
    <x v="0"/>
    <x v="28"/>
    <x v="1"/>
    <n v="5"/>
    <n v="40"/>
    <n v="200"/>
    <n v="0.09"/>
    <x v="8"/>
  </r>
  <r>
    <s v="EMP-ID-1280"/>
    <x v="1"/>
    <x v="29"/>
    <x v="4"/>
    <n v="23"/>
    <n v="150"/>
    <n v="3450"/>
    <n v="0.11"/>
    <x v="9"/>
  </r>
  <r>
    <s v="EMP-ID-1281"/>
    <x v="0"/>
    <x v="29"/>
    <x v="0"/>
    <n v="16"/>
    <n v="80"/>
    <n v="1280"/>
    <n v="0.03"/>
    <x v="10"/>
  </r>
  <r>
    <s v="EMP-ID-1282"/>
    <x v="4"/>
    <x v="29"/>
    <x v="4"/>
    <n v="15"/>
    <n v="150"/>
    <n v="2250"/>
    <n v="7.0000000000000007E-2"/>
    <x v="11"/>
  </r>
  <r>
    <s v="EMP-ID-1283"/>
    <x v="0"/>
    <x v="29"/>
    <x v="1"/>
    <n v="20"/>
    <n v="40"/>
    <n v="800"/>
    <n v="0.04"/>
    <x v="0"/>
  </r>
  <r>
    <s v="EMP-ID-1284"/>
    <x v="2"/>
    <x v="29"/>
    <x v="2"/>
    <n v="10"/>
    <n v="230"/>
    <n v="2300"/>
    <n v="0.02"/>
    <x v="1"/>
  </r>
  <r>
    <s v="EMP-ID-1285"/>
    <x v="1"/>
    <x v="29"/>
    <x v="0"/>
    <n v="9"/>
    <n v="80"/>
    <n v="720"/>
    <n v="0.03"/>
    <x v="2"/>
  </r>
  <r>
    <s v="EMP-ID-1286"/>
    <x v="0"/>
    <x v="29"/>
    <x v="2"/>
    <n v="16"/>
    <n v="230"/>
    <n v="3680"/>
    <n v="7.0000000000000007E-2"/>
    <x v="12"/>
  </r>
  <r>
    <s v="EMP-ID-1287"/>
    <x v="1"/>
    <x v="29"/>
    <x v="0"/>
    <n v="21"/>
    <n v="80"/>
    <n v="1680"/>
    <n v="0.04"/>
    <x v="4"/>
  </r>
  <r>
    <s v="EMP-ID-1288"/>
    <x v="1"/>
    <x v="29"/>
    <x v="0"/>
    <n v="9"/>
    <n v="80"/>
    <n v="720"/>
    <n v="0.03"/>
    <x v="5"/>
  </r>
  <r>
    <s v="EMP-ID-1289"/>
    <x v="1"/>
    <x v="29"/>
    <x v="1"/>
    <n v="4"/>
    <n v="40"/>
    <n v="160"/>
    <n v="0.12"/>
    <x v="1"/>
  </r>
  <r>
    <s v="EMP-ID-1290"/>
    <x v="2"/>
    <x v="29"/>
    <x v="2"/>
    <n v="5"/>
    <n v="230"/>
    <n v="1150"/>
    <n v="0.01"/>
    <x v="2"/>
  </r>
  <r>
    <s v="EMP-ID-1291"/>
    <x v="0"/>
    <x v="29"/>
    <x v="3"/>
    <n v="18"/>
    <n v="16"/>
    <n v="288"/>
    <n v="0.05"/>
    <x v="12"/>
  </r>
  <r>
    <s v="EMP-ID-1292"/>
    <x v="2"/>
    <x v="30"/>
    <x v="0"/>
    <n v="6"/>
    <n v="80"/>
    <n v="480"/>
    <n v="0.01"/>
    <x v="4"/>
  </r>
  <r>
    <s v="EMP-ID-1293"/>
    <x v="4"/>
    <x v="30"/>
    <x v="4"/>
    <n v="4"/>
    <n v="150"/>
    <n v="600"/>
    <n v="0.05"/>
    <x v="5"/>
  </r>
  <r>
    <s v="EMP-ID-1294"/>
    <x v="4"/>
    <x v="30"/>
    <x v="2"/>
    <n v="21"/>
    <n v="230"/>
    <n v="4830"/>
    <n v="0.05"/>
    <x v="6"/>
  </r>
  <r>
    <s v="EMP-ID-1295"/>
    <x v="0"/>
    <x v="30"/>
    <x v="4"/>
    <n v="4"/>
    <n v="150"/>
    <n v="600"/>
    <n v="0.06"/>
    <x v="7"/>
  </r>
  <r>
    <s v="EMP-ID-1296"/>
    <x v="1"/>
    <x v="30"/>
    <x v="0"/>
    <n v="2"/>
    <n v="80"/>
    <n v="160"/>
    <n v="0.04"/>
    <x v="8"/>
  </r>
  <r>
    <s v="EMP-ID-1297"/>
    <x v="1"/>
    <x v="30"/>
    <x v="3"/>
    <n v="5"/>
    <n v="16"/>
    <n v="80"/>
    <n v="0.11"/>
    <x v="9"/>
  </r>
  <r>
    <s v="EMP-ID-1298"/>
    <x v="4"/>
    <x v="30"/>
    <x v="4"/>
    <n v="23"/>
    <n v="150"/>
    <n v="3450"/>
    <n v="0.08"/>
    <x v="10"/>
  </r>
  <r>
    <s v="EMP-ID-1299"/>
    <x v="1"/>
    <x v="30"/>
    <x v="0"/>
    <n v="3"/>
    <n v="80"/>
    <n v="240"/>
    <n v="0.02"/>
    <x v="11"/>
  </r>
  <r>
    <s v="EMP-ID-1300"/>
    <x v="4"/>
    <x v="30"/>
    <x v="2"/>
    <n v="17"/>
    <n v="230"/>
    <n v="3910"/>
    <n v="0.11"/>
    <x v="0"/>
  </r>
  <r>
    <s v="EMP-ID-1301"/>
    <x v="2"/>
    <x v="30"/>
    <x v="1"/>
    <n v="11"/>
    <n v="40"/>
    <n v="440"/>
    <n v="0.05"/>
    <x v="1"/>
  </r>
  <r>
    <s v="EMP-ID-1302"/>
    <x v="0"/>
    <x v="30"/>
    <x v="2"/>
    <n v="7"/>
    <n v="230"/>
    <n v="1610"/>
    <n v="0.02"/>
    <x v="2"/>
  </r>
  <r>
    <s v="EMP-ID-1303"/>
    <x v="2"/>
    <x v="30"/>
    <x v="1"/>
    <n v="13"/>
    <n v="40"/>
    <n v="520"/>
    <n v="0.02"/>
    <x v="1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A36E8FD-A17A-422B-9C8A-9BB9941AA1B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9">
    <pivotField showAll="0"/>
    <pivotField showAll="0">
      <items count="6">
        <item x="4"/>
        <item x="0"/>
        <item x="2"/>
        <item x="1"/>
        <item x="3"/>
        <item t="default"/>
      </items>
    </pivotField>
    <pivotField numFmtId="14" showAll="0">
      <items count="32">
        <item h="1" x="0"/>
        <item h="1" x="1"/>
        <item h="1" x="2"/>
        <item h="1" x="3"/>
        <item h="1" x="4"/>
        <item h="1" x="5"/>
        <item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t="default"/>
      </items>
    </pivotField>
    <pivotField showAll="0">
      <items count="6">
        <item h="1" x="3"/>
        <item h="1" x="2"/>
        <item h="1" x="0"/>
        <item h="1" x="4"/>
        <item x="1"/>
        <item t="default"/>
      </items>
    </pivotField>
    <pivotField showAll="0"/>
    <pivotField showAll="0"/>
    <pivotField showAll="0"/>
    <pivotField dataField="1" showAll="0"/>
    <pivotField showAll="0">
      <items count="14">
        <item h="1" x="5"/>
        <item h="1" x="12"/>
        <item h="1" x="6"/>
        <item h="1" x="8"/>
        <item h="1" x="10"/>
        <item h="1" x="9"/>
        <item h="1" x="7"/>
        <item h="1" x="3"/>
        <item x="11"/>
        <item h="1" x="2"/>
        <item h="1" x="0"/>
        <item h="1" x="1"/>
        <item h="1" x="4"/>
        <item t="default"/>
      </items>
    </pivotField>
  </pivotFields>
  <rowItems count="1">
    <i/>
  </rowItems>
  <colItems count="1">
    <i/>
  </colItems>
  <dataFields count="1">
    <dataField name="Sum of Commission"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0155D45-D09C-4FCC-AB7C-52F62748361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D35:E37" firstHeaderRow="1" firstDataRow="1" firstDataCol="1"/>
  <pivotFields count="9">
    <pivotField showAll="0"/>
    <pivotField axis="axisRow" showAll="0">
      <items count="6">
        <item x="4"/>
        <item x="0"/>
        <item x="2"/>
        <item x="1"/>
        <item x="3"/>
        <item t="default"/>
      </items>
    </pivotField>
    <pivotField numFmtId="14" showAll="0">
      <items count="32">
        <item h="1" x="0"/>
        <item h="1" x="1"/>
        <item h="1" x="2"/>
        <item h="1" x="3"/>
        <item h="1" x="4"/>
        <item h="1" x="5"/>
        <item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t="default"/>
      </items>
    </pivotField>
    <pivotField showAll="0">
      <items count="6">
        <item h="1" x="3"/>
        <item h="1" x="2"/>
        <item h="1" x="0"/>
        <item h="1" x="4"/>
        <item x="1"/>
        <item t="default"/>
      </items>
    </pivotField>
    <pivotField showAll="0"/>
    <pivotField showAll="0"/>
    <pivotField showAll="0"/>
    <pivotField dataField="1" showAll="0"/>
    <pivotField showAll="0">
      <items count="14">
        <item h="1" x="5"/>
        <item h="1" x="12"/>
        <item h="1" x="6"/>
        <item h="1" x="8"/>
        <item h="1" x="10"/>
        <item h="1" x="9"/>
        <item h="1" x="7"/>
        <item h="1" x="3"/>
        <item x="11"/>
        <item h="1" x="2"/>
        <item h="1" x="0"/>
        <item h="1" x="1"/>
        <item h="1" x="4"/>
        <item t="default"/>
      </items>
    </pivotField>
  </pivotFields>
  <rowFields count="1">
    <field x="1"/>
  </rowFields>
  <rowItems count="2">
    <i>
      <x v="2"/>
    </i>
    <i t="grand">
      <x/>
    </i>
  </rowItems>
  <colItems count="1">
    <i/>
  </colItems>
  <dataFields count="1">
    <dataField name="Sum of Commission" fld="7" baseField="0" baseItem="0"/>
  </dataFields>
  <chartFormats count="13">
    <chartFormat chart="0" format="0" series="1">
      <pivotArea type="data" outline="0" fieldPosition="0">
        <references count="1">
          <reference field="4294967294" count="1" selected="0">
            <x v="0"/>
          </reference>
        </references>
      </pivotArea>
    </chartFormat>
    <chartFormat chart="8" format="7" series="1">
      <pivotArea type="data" outline="0" fieldPosition="0">
        <references count="1">
          <reference field="4294967294" count="1" selected="0">
            <x v="0"/>
          </reference>
        </references>
      </pivotArea>
    </chartFormat>
    <chartFormat chart="8" format="8">
      <pivotArea type="data" outline="0" fieldPosition="0">
        <references count="2">
          <reference field="4294967294" count="1" selected="0">
            <x v="0"/>
          </reference>
          <reference field="1" count="1" selected="0">
            <x v="0"/>
          </reference>
        </references>
      </pivotArea>
    </chartFormat>
    <chartFormat chart="8" format="9">
      <pivotArea type="data" outline="0" fieldPosition="0">
        <references count="2">
          <reference field="4294967294" count="1" selected="0">
            <x v="0"/>
          </reference>
          <reference field="1" count="1" selected="0">
            <x v="1"/>
          </reference>
        </references>
      </pivotArea>
    </chartFormat>
    <chartFormat chart="8" format="10">
      <pivotArea type="data" outline="0" fieldPosition="0">
        <references count="2">
          <reference field="4294967294" count="1" selected="0">
            <x v="0"/>
          </reference>
          <reference field="1" count="1" selected="0">
            <x v="2"/>
          </reference>
        </references>
      </pivotArea>
    </chartFormat>
    <chartFormat chart="8" format="11">
      <pivotArea type="data" outline="0" fieldPosition="0">
        <references count="2">
          <reference field="4294967294" count="1" selected="0">
            <x v="0"/>
          </reference>
          <reference field="1" count="1" selected="0">
            <x v="3"/>
          </reference>
        </references>
      </pivotArea>
    </chartFormat>
    <chartFormat chart="8" format="12">
      <pivotArea type="data" outline="0" fieldPosition="0">
        <references count="2">
          <reference field="4294967294" count="1" selected="0">
            <x v="0"/>
          </reference>
          <reference field="1" count="1" selected="0">
            <x v="4"/>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1" count="1" selected="0">
            <x v="0"/>
          </reference>
        </references>
      </pivotArea>
    </chartFormat>
    <chartFormat chart="13" format="9">
      <pivotArea type="data" outline="0" fieldPosition="0">
        <references count="2">
          <reference field="4294967294" count="1" selected="0">
            <x v="0"/>
          </reference>
          <reference field="1" count="1" selected="0">
            <x v="1"/>
          </reference>
        </references>
      </pivotArea>
    </chartFormat>
    <chartFormat chart="13" format="10">
      <pivotArea type="data" outline="0" fieldPosition="0">
        <references count="2">
          <reference field="4294967294" count="1" selected="0">
            <x v="0"/>
          </reference>
          <reference field="1" count="1" selected="0">
            <x v="2"/>
          </reference>
        </references>
      </pivotArea>
    </chartFormat>
    <chartFormat chart="13" format="11">
      <pivotArea type="data" outline="0" fieldPosition="0">
        <references count="2">
          <reference field="4294967294" count="1" selected="0">
            <x v="0"/>
          </reference>
          <reference field="1" count="1" selected="0">
            <x v="3"/>
          </reference>
        </references>
      </pivotArea>
    </chartFormat>
    <chartFormat chart="13" format="12">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4481F4-56D7-46E9-AFF4-29C71BFD846D}"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K23:L25" firstHeaderRow="1" firstDataRow="1" firstDataCol="1"/>
  <pivotFields count="9">
    <pivotField showAll="0"/>
    <pivotField showAll="0">
      <items count="6">
        <item x="4"/>
        <item x="0"/>
        <item x="2"/>
        <item x="1"/>
        <item x="3"/>
        <item t="default"/>
      </items>
    </pivotField>
    <pivotField numFmtId="14" showAll="0">
      <items count="32">
        <item h="1" x="0"/>
        <item h="1" x="1"/>
        <item h="1" x="2"/>
        <item h="1" x="3"/>
        <item h="1" x="4"/>
        <item h="1" x="5"/>
        <item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t="default"/>
      </items>
    </pivotField>
    <pivotField showAll="0">
      <items count="6">
        <item h="1" x="3"/>
        <item h="1" x="2"/>
        <item h="1" x="0"/>
        <item h="1" x="4"/>
        <item x="1"/>
        <item t="default"/>
      </items>
    </pivotField>
    <pivotField showAll="0"/>
    <pivotField showAll="0"/>
    <pivotField dataField="1" showAll="0"/>
    <pivotField showAll="0"/>
    <pivotField axis="axisRow" showAll="0">
      <items count="14">
        <item h="1" x="5"/>
        <item h="1" x="12"/>
        <item h="1" x="6"/>
        <item h="1" x="8"/>
        <item h="1" x="10"/>
        <item h="1" x="9"/>
        <item h="1" x="7"/>
        <item h="1" x="3"/>
        <item x="11"/>
        <item h="1" x="2"/>
        <item h="1" x="0"/>
        <item h="1" x="1"/>
        <item h="1" x="4"/>
        <item t="default"/>
      </items>
    </pivotField>
  </pivotFields>
  <rowFields count="1">
    <field x="8"/>
  </rowFields>
  <rowItems count="2">
    <i>
      <x v="8"/>
    </i>
    <i t="grand">
      <x/>
    </i>
  </rowItems>
  <colItems count="1">
    <i/>
  </colItems>
  <dataFields count="1">
    <dataField name="Sum of Total revenue" fld="6" baseField="0" baseItem="0"/>
  </dataFields>
  <chartFormats count="6">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8" count="1" selected="0">
            <x v="0"/>
          </reference>
        </references>
      </pivotArea>
    </chartFormat>
    <chartFormat chart="3" format="4">
      <pivotArea type="data" outline="0" fieldPosition="0">
        <references count="2">
          <reference field="4294967294" count="1" selected="0">
            <x v="0"/>
          </reference>
          <reference field="8" count="1" selected="0">
            <x v="6"/>
          </reference>
        </references>
      </pivotArea>
    </chartFormat>
    <chartFormat chart="3" format="5">
      <pivotArea type="data" outline="0" fieldPosition="0">
        <references count="2">
          <reference field="4294967294" count="1" selected="0">
            <x v="0"/>
          </reference>
          <reference field="8" count="1" selected="0">
            <x v="11"/>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0C838B-8EC1-4FE8-8DAA-4B9F567195A5}"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D23:E25" firstHeaderRow="1" firstDataRow="1" firstDataCol="1"/>
  <pivotFields count="9">
    <pivotField showAll="0"/>
    <pivotField axis="axisRow" showAll="0">
      <items count="6">
        <item x="4"/>
        <item x="0"/>
        <item x="2"/>
        <item x="1"/>
        <item x="3"/>
        <item t="default"/>
      </items>
    </pivotField>
    <pivotField numFmtId="14" showAll="0">
      <items count="32">
        <item h="1" x="0"/>
        <item h="1" x="1"/>
        <item h="1" x="2"/>
        <item h="1" x="3"/>
        <item h="1" x="4"/>
        <item h="1" x="5"/>
        <item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t="default"/>
      </items>
    </pivotField>
    <pivotField showAll="0">
      <items count="6">
        <item h="1" x="3"/>
        <item h="1" x="2"/>
        <item h="1" x="0"/>
        <item h="1" x="4"/>
        <item x="1"/>
        <item t="default"/>
      </items>
    </pivotField>
    <pivotField showAll="0"/>
    <pivotField showAll="0"/>
    <pivotField dataField="1" showAll="0"/>
    <pivotField showAll="0"/>
    <pivotField showAll="0">
      <items count="14">
        <item h="1" x="5"/>
        <item h="1" x="12"/>
        <item h="1" x="6"/>
        <item h="1" x="8"/>
        <item h="1" x="10"/>
        <item h="1" x="9"/>
        <item h="1" x="7"/>
        <item h="1" x="3"/>
        <item x="11"/>
        <item h="1" x="2"/>
        <item h="1" x="0"/>
        <item h="1" x="1"/>
        <item h="1" x="4"/>
        <item t="default"/>
      </items>
    </pivotField>
  </pivotFields>
  <rowFields count="1">
    <field x="1"/>
  </rowFields>
  <rowItems count="2">
    <i>
      <x v="2"/>
    </i>
    <i t="grand">
      <x/>
    </i>
  </rowItems>
  <colItems count="1">
    <i/>
  </colItems>
  <dataFields count="1">
    <dataField name="Sum of Total revenue" fld="6" baseField="0" baseItem="0"/>
  </dataFields>
  <chartFormats count="3">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F167E7B-9D5D-4663-8692-0EA1A48F6B6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3:K5" firstHeaderRow="1" firstDataRow="1" firstDataCol="1"/>
  <pivotFields count="9">
    <pivotField showAll="0"/>
    <pivotField showAll="0">
      <items count="6">
        <item x="4"/>
        <item x="0"/>
        <item x="2"/>
        <item x="1"/>
        <item x="3"/>
        <item t="default"/>
      </items>
    </pivotField>
    <pivotField numFmtId="14" showAll="0">
      <items count="32">
        <item h="1" x="0"/>
        <item h="1" x="1"/>
        <item h="1" x="2"/>
        <item h="1" x="3"/>
        <item h="1" x="4"/>
        <item h="1" x="5"/>
        <item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t="default"/>
      </items>
    </pivotField>
    <pivotField axis="axisRow" showAll="0">
      <items count="6">
        <item h="1" x="3"/>
        <item h="1" x="2"/>
        <item h="1" x="0"/>
        <item h="1" x="4"/>
        <item x="1"/>
        <item t="default"/>
      </items>
    </pivotField>
    <pivotField showAll="0"/>
    <pivotField showAll="0"/>
    <pivotField showAll="0"/>
    <pivotField showAll="0"/>
    <pivotField showAll="0">
      <items count="14">
        <item h="1" x="5"/>
        <item h="1" x="12"/>
        <item h="1" x="6"/>
        <item h="1" x="8"/>
        <item h="1" x="10"/>
        <item h="1" x="9"/>
        <item h="1" x="7"/>
        <item h="1" x="3"/>
        <item x="11"/>
        <item h="1" x="2"/>
        <item h="1" x="0"/>
        <item h="1" x="1"/>
        <item h="1" x="4"/>
        <item t="default"/>
      </items>
    </pivotField>
  </pivotFields>
  <rowFields count="1">
    <field x="3"/>
  </rowFields>
  <rowItems count="2">
    <i>
      <x v="4"/>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F28BA66-860E-4A6E-A639-1EBE59F6DA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9">
    <pivotField showAll="0"/>
    <pivotField showAll="0">
      <items count="6">
        <item x="4"/>
        <item x="0"/>
        <item x="2"/>
        <item x="1"/>
        <item x="3"/>
        <item t="default"/>
      </items>
    </pivotField>
    <pivotField numFmtId="14" showAll="0">
      <items count="32">
        <item h="1" x="0"/>
        <item h="1" x="1"/>
        <item h="1" x="2"/>
        <item h="1" x="3"/>
        <item h="1" x="4"/>
        <item h="1" x="5"/>
        <item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t="default"/>
      </items>
    </pivotField>
    <pivotField showAll="0">
      <items count="6">
        <item h="1" x="3"/>
        <item h="1" x="2"/>
        <item h="1" x="0"/>
        <item h="1" x="4"/>
        <item x="1"/>
        <item t="default"/>
      </items>
    </pivotField>
    <pivotField dataField="1" showAll="0"/>
    <pivotField showAll="0"/>
    <pivotField showAll="0"/>
    <pivotField showAll="0"/>
    <pivotField showAll="0">
      <items count="14">
        <item h="1" x="5"/>
        <item h="1" x="12"/>
        <item h="1" x="6"/>
        <item h="1" x="8"/>
        <item h="1" x="10"/>
        <item h="1" x="9"/>
        <item h="1" x="7"/>
        <item h="1" x="3"/>
        <item x="11"/>
        <item h="1" x="2"/>
        <item h="1" x="0"/>
        <item h="1" x="1"/>
        <item h="1" x="4"/>
        <item t="default"/>
      </items>
    </pivotField>
  </pivotFields>
  <rowItems count="1">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9146857-AA72-45A7-8037-CD5D2020DF53}"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A23:B25" firstHeaderRow="1" firstDataRow="1" firstDataCol="1"/>
  <pivotFields count="9">
    <pivotField showAll="0"/>
    <pivotField showAll="0">
      <items count="6">
        <item x="4"/>
        <item x="0"/>
        <item x="2"/>
        <item x="1"/>
        <item x="3"/>
        <item t="default"/>
      </items>
    </pivotField>
    <pivotField axis="axisRow" numFmtId="14" showAll="0">
      <items count="32">
        <item h="1" x="0"/>
        <item h="1" x="1"/>
        <item h="1" x="2"/>
        <item h="1" x="3"/>
        <item h="1" x="4"/>
        <item h="1" x="5"/>
        <item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t="default"/>
      </items>
    </pivotField>
    <pivotField showAll="0">
      <items count="6">
        <item h="1" x="3"/>
        <item h="1" x="2"/>
        <item h="1" x="0"/>
        <item h="1" x="4"/>
        <item x="1"/>
        <item t="default"/>
      </items>
    </pivotField>
    <pivotField showAll="0"/>
    <pivotField showAll="0"/>
    <pivotField dataField="1" showAll="0"/>
    <pivotField showAll="0"/>
    <pivotField showAll="0">
      <items count="14">
        <item h="1" x="5"/>
        <item h="1" x="12"/>
        <item h="1" x="6"/>
        <item h="1" x="8"/>
        <item h="1" x="10"/>
        <item h="1" x="9"/>
        <item h="1" x="7"/>
        <item h="1" x="3"/>
        <item x="11"/>
        <item h="1" x="2"/>
        <item h="1" x="0"/>
        <item h="1" x="1"/>
        <item h="1" x="4"/>
        <item t="default"/>
      </items>
    </pivotField>
  </pivotFields>
  <rowFields count="1">
    <field x="2"/>
  </rowFields>
  <rowItems count="2">
    <i>
      <x v="6"/>
    </i>
    <i t="grand">
      <x/>
    </i>
  </rowItems>
  <colItems count="1">
    <i/>
  </colItems>
  <dataFields count="1">
    <dataField name="Sum of Total revenue" fld="6"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13" format="3"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C594F4A-D43A-4BE9-92D2-DFCFE622A0D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H23:I25" firstHeaderRow="1" firstDataRow="1" firstDataCol="1"/>
  <pivotFields count="9">
    <pivotField showAll="0"/>
    <pivotField showAll="0">
      <items count="6">
        <item x="4"/>
        <item x="0"/>
        <item x="2"/>
        <item x="1"/>
        <item x="3"/>
        <item t="default"/>
      </items>
    </pivotField>
    <pivotField numFmtId="14" showAll="0">
      <items count="32">
        <item h="1" x="0"/>
        <item h="1" x="1"/>
        <item h="1" x="2"/>
        <item h="1" x="3"/>
        <item h="1" x="4"/>
        <item h="1" x="5"/>
        <item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t="default"/>
      </items>
    </pivotField>
    <pivotField axis="axisRow" showAll="0">
      <items count="6">
        <item h="1" x="3"/>
        <item h="1" x="2"/>
        <item h="1" x="0"/>
        <item h="1" x="4"/>
        <item x="1"/>
        <item t="default"/>
      </items>
    </pivotField>
    <pivotField showAll="0"/>
    <pivotField showAll="0"/>
    <pivotField dataField="1" showAll="0"/>
    <pivotField showAll="0"/>
    <pivotField showAll="0">
      <items count="14">
        <item h="1" x="5"/>
        <item h="1" x="12"/>
        <item h="1" x="6"/>
        <item h="1" x="8"/>
        <item h="1" x="10"/>
        <item h="1" x="9"/>
        <item h="1" x="7"/>
        <item h="1" x="3"/>
        <item x="11"/>
        <item h="1" x="2"/>
        <item h="1" x="0"/>
        <item h="1" x="1"/>
        <item h="1" x="4"/>
        <item t="default"/>
      </items>
    </pivotField>
  </pivotFields>
  <rowFields count="1">
    <field x="3"/>
  </rowFields>
  <rowItems count="2">
    <i>
      <x v="4"/>
    </i>
    <i t="grand">
      <x/>
    </i>
  </rowItems>
  <colItems count="1">
    <i/>
  </colItems>
  <dataFields count="1">
    <dataField name="Sum of Total revenue" fld="6" baseField="0" baseItem="0"/>
  </dataFields>
  <chartFormats count="13">
    <chartFormat chart="0" format="0"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3" count="1" selected="0">
            <x v="0"/>
          </reference>
        </references>
      </pivotArea>
    </chartFormat>
    <chartFormat chart="6" format="9">
      <pivotArea type="data" outline="0" fieldPosition="0">
        <references count="2">
          <reference field="4294967294" count="1" selected="0">
            <x v="0"/>
          </reference>
          <reference field="3" count="1" selected="0">
            <x v="1"/>
          </reference>
        </references>
      </pivotArea>
    </chartFormat>
    <chartFormat chart="6" format="10">
      <pivotArea type="data" outline="0" fieldPosition="0">
        <references count="2">
          <reference field="4294967294" count="1" selected="0">
            <x v="0"/>
          </reference>
          <reference field="3" count="1" selected="0">
            <x v="2"/>
          </reference>
        </references>
      </pivotArea>
    </chartFormat>
    <chartFormat chart="6" format="11">
      <pivotArea type="data" outline="0" fieldPosition="0">
        <references count="2">
          <reference field="4294967294" count="1" selected="0">
            <x v="0"/>
          </reference>
          <reference field="3" count="1" selected="0">
            <x v="3"/>
          </reference>
        </references>
      </pivotArea>
    </chartFormat>
    <chartFormat chart="6" format="12">
      <pivotArea type="data" outline="0" fieldPosition="0">
        <references count="2">
          <reference field="4294967294" count="1" selected="0">
            <x v="0"/>
          </reference>
          <reference field="3" count="1" selected="0">
            <x v="4"/>
          </reference>
        </references>
      </pivotArea>
    </chartFormat>
    <chartFormat chart="13" format="7" series="1">
      <pivotArea type="data" outline="0" fieldPosition="0">
        <references count="1">
          <reference field="4294967294" count="1" selected="0">
            <x v="0"/>
          </reference>
        </references>
      </pivotArea>
    </chartFormat>
    <chartFormat chart="13" format="8">
      <pivotArea type="data" outline="0" fieldPosition="0">
        <references count="2">
          <reference field="4294967294" count="1" selected="0">
            <x v="0"/>
          </reference>
          <reference field="3" count="1" selected="0">
            <x v="0"/>
          </reference>
        </references>
      </pivotArea>
    </chartFormat>
    <chartFormat chart="13" format="9">
      <pivotArea type="data" outline="0" fieldPosition="0">
        <references count="2">
          <reference field="4294967294" count="1" selected="0">
            <x v="0"/>
          </reference>
          <reference field="3" count="1" selected="0">
            <x v="1"/>
          </reference>
        </references>
      </pivotArea>
    </chartFormat>
    <chartFormat chart="13" format="10">
      <pivotArea type="data" outline="0" fieldPosition="0">
        <references count="2">
          <reference field="4294967294" count="1" selected="0">
            <x v="0"/>
          </reference>
          <reference field="3" count="1" selected="0">
            <x v="2"/>
          </reference>
        </references>
      </pivotArea>
    </chartFormat>
    <chartFormat chart="13" format="11">
      <pivotArea type="data" outline="0" fieldPosition="0">
        <references count="2">
          <reference field="4294967294" count="1" selected="0">
            <x v="0"/>
          </reference>
          <reference field="3" count="1" selected="0">
            <x v="3"/>
          </reference>
        </references>
      </pivotArea>
    </chartFormat>
    <chartFormat chart="13" format="12">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D2D9AF4-E22F-4980-A6C6-E0525304075A}"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9">
    <pivotField showAll="0"/>
    <pivotField showAll="0">
      <items count="6">
        <item x="4"/>
        <item x="0"/>
        <item x="2"/>
        <item x="1"/>
        <item x="3"/>
        <item t="default"/>
      </items>
    </pivotField>
    <pivotField numFmtId="14" showAll="0">
      <items count="32">
        <item h="1" x="0"/>
        <item h="1" x="1"/>
        <item h="1" x="2"/>
        <item h="1" x="3"/>
        <item h="1" x="4"/>
        <item h="1" x="5"/>
        <item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t="default"/>
      </items>
    </pivotField>
    <pivotField showAll="0">
      <items count="6">
        <item h="1" x="3"/>
        <item h="1" x="2"/>
        <item h="1" x="0"/>
        <item h="1" x="4"/>
        <item x="1"/>
        <item t="default"/>
      </items>
    </pivotField>
    <pivotField showAll="0"/>
    <pivotField showAll="0"/>
    <pivotField dataField="1" showAll="0"/>
    <pivotField showAll="0"/>
    <pivotField showAll="0">
      <items count="14">
        <item h="1" x="5"/>
        <item h="1" x="12"/>
        <item h="1" x="6"/>
        <item h="1" x="8"/>
        <item h="1" x="10"/>
        <item h="1" x="9"/>
        <item h="1" x="7"/>
        <item h="1" x="3"/>
        <item x="11"/>
        <item h="1" x="2"/>
        <item h="1" x="0"/>
        <item h="1" x="1"/>
        <item h="1" x="4"/>
        <item t="default"/>
      </items>
    </pivotField>
  </pivotFields>
  <rowItems count="1">
    <i/>
  </rowItems>
  <colItems count="1">
    <i/>
  </colItems>
  <dataFields count="1">
    <dataField name="Sum of Total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C8680BF-35EE-422B-BC8D-C23BD060248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I4" firstHeaderRow="1" firstDataRow="1" firstDataCol="0"/>
  <pivotFields count="9">
    <pivotField showAll="0"/>
    <pivotField showAll="0">
      <items count="6">
        <item x="4"/>
        <item x="0"/>
        <item x="2"/>
        <item x="1"/>
        <item x="3"/>
        <item t="default"/>
      </items>
    </pivotField>
    <pivotField numFmtId="14" showAll="0">
      <items count="32">
        <item h="1" x="0"/>
        <item h="1" x="1"/>
        <item h="1" x="2"/>
        <item h="1" x="3"/>
        <item h="1" x="4"/>
        <item h="1" x="5"/>
        <item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t="default"/>
      </items>
    </pivotField>
    <pivotField showAll="0">
      <items count="6">
        <item h="1" x="3"/>
        <item h="1" x="2"/>
        <item h="1" x="0"/>
        <item h="1" x="4"/>
        <item x="1"/>
        <item t="default"/>
      </items>
    </pivotField>
    <pivotField dataField="1" showAll="0"/>
    <pivotField showAll="0"/>
    <pivotField showAll="0"/>
    <pivotField showAll="0"/>
    <pivotField showAll="0">
      <items count="14">
        <item h="1" x="5"/>
        <item h="1" x="12"/>
        <item h="1" x="6"/>
        <item h="1" x="8"/>
        <item h="1" x="10"/>
        <item h="1" x="9"/>
        <item h="1" x="7"/>
        <item h="1" x="3"/>
        <item x="11"/>
        <item h="1" x="2"/>
        <item h="1" x="0"/>
        <item h="1" x="1"/>
        <item h="1" x="4"/>
        <item t="default"/>
      </items>
    </pivotField>
  </pivotFields>
  <rowItems count="1">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DA45D4A-F701-4E1B-8F87-8615FF3FAE10}"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B13" firstHeaderRow="1" firstDataRow="1" firstDataCol="1"/>
  <pivotFields count="9">
    <pivotField showAll="0"/>
    <pivotField showAll="0">
      <items count="6">
        <item x="4"/>
        <item x="0"/>
        <item x="2"/>
        <item x="1"/>
        <item x="3"/>
        <item t="default"/>
      </items>
    </pivotField>
    <pivotField numFmtId="14" showAll="0">
      <items count="32">
        <item h="1" x="0"/>
        <item h="1" x="1"/>
        <item h="1" x="2"/>
        <item h="1" x="3"/>
        <item h="1" x="4"/>
        <item h="1" x="5"/>
        <item x="6"/>
        <item h="1" x="7"/>
        <item h="1" x="8"/>
        <item h="1" x="9"/>
        <item h="1" x="10"/>
        <item h="1" x="11"/>
        <item h="1" x="12"/>
        <item h="1" x="13"/>
        <item h="1" x="14"/>
        <item h="1" x="15"/>
        <item h="1" x="16"/>
        <item h="1" x="17"/>
        <item h="1" x="18"/>
        <item h="1" x="19"/>
        <item h="1" x="20"/>
        <item h="1" x="21"/>
        <item h="1" x="22"/>
        <item h="1" x="23"/>
        <item h="1" x="24"/>
        <item h="1" x="25"/>
        <item h="1" x="26"/>
        <item h="1" x="27"/>
        <item h="1" x="28"/>
        <item h="1" x="29"/>
        <item h="1" x="30"/>
        <item t="default"/>
      </items>
    </pivotField>
    <pivotField axis="axisRow" showAll="0" sortType="descending">
      <items count="6">
        <item x="1"/>
        <item h="1" x="4"/>
        <item h="1" x="0"/>
        <item h="1" x="2"/>
        <item h="1" x="3"/>
        <item t="default"/>
      </items>
    </pivotField>
    <pivotField dataField="1" showAll="0"/>
    <pivotField showAll="0"/>
    <pivotField showAll="0"/>
    <pivotField showAll="0"/>
    <pivotField showAll="0">
      <items count="14">
        <item h="1" x="5"/>
        <item h="1" x="12"/>
        <item h="1" x="6"/>
        <item h="1" x="8"/>
        <item h="1" x="10"/>
        <item h="1" x="9"/>
        <item h="1" x="7"/>
        <item h="1" x="3"/>
        <item x="11"/>
        <item h="1" x="2"/>
        <item h="1" x="0"/>
        <item h="1" x="1"/>
        <item h="1" x="4"/>
        <item t="default"/>
      </items>
    </pivotField>
  </pivotFields>
  <rowFields count="1">
    <field x="3"/>
  </rowFields>
  <rowItems count="2">
    <i>
      <x/>
    </i>
    <i t="grand">
      <x/>
    </i>
  </rowItems>
  <colItems count="1">
    <i/>
  </colItems>
  <dataFields count="1">
    <dataField name="Sum of Quantit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53BE558F-A887-4877-A149-14B0E7F4624B}" autoFormatId="16" applyNumberFormats="0" applyBorderFormats="0" applyFontFormats="0" applyPatternFormats="0" applyAlignmentFormats="0" applyWidthHeightFormats="0">
  <queryTableRefresh nextId="10">
    <queryTableFields count="9">
      <queryTableField id="1" name="EMPID" tableColumnId="1"/>
      <queryTableField id="2" name="Sales Representive" tableColumnId="2"/>
      <queryTableField id="3" name="Date" tableColumnId="3"/>
      <queryTableField id="4" name="Item" tableColumnId="4"/>
      <queryTableField id="5" name="Quantity" tableColumnId="5"/>
      <queryTableField id="6" name="Price" tableColumnId="6"/>
      <queryTableField id="7" name="Total Price" tableColumnId="7"/>
      <queryTableField id="8" name="Commission" tableColumnId="8"/>
      <queryTableField id="9" name="Stat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resentive" xr10:uid="{58AD142C-0499-4D86-BC5F-F4507BC7EE7C}" sourceName="Sales Representive">
  <pivotTables>
    <pivotTable tabId="1" name="PivotTable7"/>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8"/>
    <pivotTable tabId="1" name="PivotTable9"/>
  </pivotTables>
  <data>
    <tabular pivotCacheId="1390465012">
      <items count="5">
        <i x="2" s="1"/>
        <i x="4" s="1" nd="1"/>
        <i x="0" s="1" nd="1"/>
        <i x="1" s="1" nd="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7A7902C1-3D67-43DC-B4D4-464C1D93EDC3}" sourceName="Date">
  <pivotTables>
    <pivotTable tabId="1" name="PivotTable7"/>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8"/>
    <pivotTable tabId="1" name="PivotTable9"/>
  </pivotTables>
  <data>
    <tabular pivotCacheId="1390465012">
      <items count="31">
        <i x="0"/>
        <i x="6" s="1"/>
        <i x="7"/>
        <i x="9"/>
        <i x="10"/>
        <i x="12"/>
        <i x="13"/>
        <i x="15"/>
        <i x="17"/>
        <i x="18"/>
        <i x="19"/>
        <i x="20"/>
        <i x="22"/>
        <i x="23"/>
        <i x="24"/>
        <i x="25"/>
        <i x="26"/>
        <i x="1" nd="1"/>
        <i x="2" nd="1"/>
        <i x="3" nd="1"/>
        <i x="4" nd="1"/>
        <i x="5" nd="1"/>
        <i x="8" nd="1"/>
        <i x="11" nd="1"/>
        <i x="14" nd="1"/>
        <i x="16" nd="1"/>
        <i x="21" nd="1"/>
        <i x="27" nd="1"/>
        <i x="28" nd="1"/>
        <i x="29" nd="1"/>
        <i x="3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 xr10:uid="{9216EC37-76DA-470B-AEE9-AA41744B555F}" sourceName="Item">
  <pivotTables>
    <pivotTable tabId="1" name="PivotTable7"/>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8"/>
    <pivotTable tabId="1" name="PivotTable9"/>
  </pivotTables>
  <data>
    <tabular pivotCacheId="1390465012">
      <items count="5">
        <i x="2"/>
        <i x="0"/>
        <i x="1" s="1"/>
        <i x="3" nd="1"/>
        <i x="4"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A643CB84-FC2B-402E-844F-3760824F63D5}" sourceName="State">
  <pivotTables>
    <pivotTable tabId="1" name="PivotTable7"/>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8"/>
    <pivotTable tabId="1" name="PivotTable9"/>
  </pivotTables>
  <data>
    <tabular pivotCacheId="1390465012">
      <items count="13">
        <i x="12"/>
        <i x="8"/>
        <i x="10"/>
        <i x="9"/>
        <i x="7"/>
        <i x="11" s="1"/>
        <i x="2"/>
        <i x="1"/>
        <i x="4"/>
        <i x="5" nd="1"/>
        <i x="6" nd="1"/>
        <i x="3" nd="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Representive" xr10:uid="{E9B15880-2656-4AAA-9E6C-D08F07D898C1}" cache="Slicer_Sales_Representive" caption="Sales Representive" rowHeight="247650"/>
  <slicer name="Date" xr10:uid="{1D67FD99-FDA7-4230-8333-56FEA83A9C65}" cache="Slicer_Date" caption="Date" rowHeight="247650"/>
  <slicer name="Item" xr10:uid="{28768A28-FDA6-4EC7-87C7-4BBA884E7A7F}" cache="Slicer_Item" caption="Item" rowHeight="247650"/>
  <slicer name="State" xr10:uid="{73E276D6-6794-487A-82DA-C6258A119290}" cache="Slicer_State" caption="State"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Representive 1" xr10:uid="{B24D95C6-B643-47B4-BB7D-F23A9B25E531}" cache="Slicer_Sales_Representive" caption="Sales Representive" style="SlicerStyleDark4" rowHeight="247650"/>
  <slicer name="Date 1" xr10:uid="{ADB14036-7A0A-4D35-9B60-35139370CE15}" cache="Slicer_Date" caption="Date" style="SlicerStyleDark4" rowHeight="247650"/>
  <slicer name="Item 1" xr10:uid="{0E0034B6-3534-42A6-81F7-1A29459D4DAA}" cache="Slicer_Item" caption="Item" columnCount="2" style="SlicerStyleDark4" rowHeight="247650"/>
  <slicer name="State 1" xr10:uid="{136FA637-83C8-4AE1-A13A-27A611ECFA35}" cache="Slicer_State" caption="State" columnCount="2" style="SlicerStyleDark4"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F24D6A-43B0-4806-81E2-3CA1D29BC004}" name="Sales_Raw_Data" displayName="Sales_Raw_Data" ref="A1:I1304" tableType="queryTable" totalsRowShown="0" headerRowDxfId="10" dataDxfId="9">
  <autoFilter ref="A1:I1304" xr:uid="{8AF24D6A-43B0-4806-81E2-3CA1D29BC004}"/>
  <tableColumns count="9">
    <tableColumn id="1" xr3:uid="{FAF01AA0-FDA3-425F-9E39-88FCABCCFB30}" uniqueName="1" name="EMPID" queryTableFieldId="1" dataDxfId="8"/>
    <tableColumn id="2" xr3:uid="{0E543506-15BD-4493-A613-20B3E1AC7018}" uniqueName="2" name="Sales Representive" queryTableFieldId="2" dataDxfId="7"/>
    <tableColumn id="3" xr3:uid="{EACA198B-F5A8-41E8-8B97-2E029E6FBBC5}" uniqueName="3" name="Date" queryTableFieldId="3" dataDxfId="6"/>
    <tableColumn id="4" xr3:uid="{DBECC6D1-D029-4571-91E9-35ED33101164}" uniqueName="4" name="Item" queryTableFieldId="4" dataDxfId="5"/>
    <tableColumn id="5" xr3:uid="{5AFDFA71-6E6F-4F75-AD88-1276B5393964}" uniqueName="5" name="Quantity" queryTableFieldId="5" dataDxfId="4"/>
    <tableColumn id="6" xr3:uid="{800682F2-B292-4276-AE95-BF9443997900}" uniqueName="6" name="Price" queryTableFieldId="6" dataDxfId="3"/>
    <tableColumn id="7" xr3:uid="{6A336DCE-74AC-45F2-81BD-78439F5364A3}" uniqueName="7" name="Total revenue" queryTableFieldId="7" dataDxfId="2"/>
    <tableColumn id="8" xr3:uid="{55C795D9-4D7C-4F0D-A07B-A2601929B8BC}" uniqueName="8" name="Commission" queryTableFieldId="8" dataDxfId="1"/>
    <tableColumn id="9" xr3:uid="{4F97FAD1-08A4-4A3F-AB41-1F0E308BB795}" uniqueName="9" name="State"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903CB1-EDF6-435C-8FC4-91D524555423}">
  <dimension ref="A1:I1304"/>
  <sheetViews>
    <sheetView tabSelected="1" topLeftCell="A1281" workbookViewId="0">
      <selection activeCell="E1287" sqref="E1287"/>
    </sheetView>
  </sheetViews>
  <sheetFormatPr defaultRowHeight="14.4" x14ac:dyDescent="0.3"/>
  <cols>
    <col min="1" max="1" width="11.5546875" bestFit="1" customWidth="1"/>
    <col min="2" max="2" width="19.109375" style="1" bestFit="1" customWidth="1"/>
    <col min="3" max="3" width="18.44140625" customWidth="1"/>
    <col min="4" max="4" width="18.109375" style="1" customWidth="1"/>
    <col min="5" max="5" width="10.33203125" bestFit="1" customWidth="1"/>
    <col min="6" max="6" width="7.5546875" bestFit="1" customWidth="1"/>
    <col min="7" max="7" width="14.88671875" customWidth="1"/>
    <col min="8" max="8" width="17.88671875" customWidth="1"/>
    <col min="9" max="9" width="21.44140625" style="1" customWidth="1"/>
  </cols>
  <sheetData>
    <row r="1" spans="1:9" x14ac:dyDescent="0.3">
      <c r="A1" s="1" t="s">
        <v>0</v>
      </c>
      <c r="B1" s="1" t="s">
        <v>1</v>
      </c>
      <c r="C1" s="1" t="s">
        <v>2</v>
      </c>
      <c r="D1" s="1" t="s">
        <v>3</v>
      </c>
      <c r="E1" s="1" t="s">
        <v>4</v>
      </c>
      <c r="F1" s="1" t="s">
        <v>5</v>
      </c>
      <c r="G1" s="1" t="s">
        <v>1334</v>
      </c>
      <c r="H1" s="1" t="s">
        <v>6</v>
      </c>
      <c r="I1" s="1" t="s">
        <v>7</v>
      </c>
    </row>
    <row r="2" spans="1:9" x14ac:dyDescent="0.3">
      <c r="A2" s="1" t="s">
        <v>8</v>
      </c>
      <c r="B2" s="1" t="s">
        <v>9</v>
      </c>
      <c r="C2" s="2">
        <v>43282</v>
      </c>
      <c r="D2" s="1" t="s">
        <v>10</v>
      </c>
      <c r="E2" s="1">
        <v>16</v>
      </c>
      <c r="F2" s="1">
        <v>80</v>
      </c>
      <c r="G2" s="1">
        <v>1280</v>
      </c>
      <c r="H2" s="1">
        <v>0.01</v>
      </c>
      <c r="I2" s="1" t="s">
        <v>11</v>
      </c>
    </row>
    <row r="3" spans="1:9" x14ac:dyDescent="0.3">
      <c r="A3" s="1" t="s">
        <v>12</v>
      </c>
      <c r="B3" s="1" t="s">
        <v>13</v>
      </c>
      <c r="C3" s="2">
        <v>43282</v>
      </c>
      <c r="D3" s="1" t="s">
        <v>14</v>
      </c>
      <c r="E3" s="1">
        <v>14</v>
      </c>
      <c r="F3" s="1">
        <v>40</v>
      </c>
      <c r="G3" s="1">
        <v>560</v>
      </c>
      <c r="H3" s="1">
        <v>0.06</v>
      </c>
      <c r="I3" s="1" t="s">
        <v>15</v>
      </c>
    </row>
    <row r="4" spans="1:9" x14ac:dyDescent="0.3">
      <c r="A4" s="1" t="s">
        <v>16</v>
      </c>
      <c r="B4" s="1" t="s">
        <v>13</v>
      </c>
      <c r="C4" s="2">
        <v>43282</v>
      </c>
      <c r="D4" s="1" t="s">
        <v>17</v>
      </c>
      <c r="E4" s="1">
        <v>22</v>
      </c>
      <c r="F4" s="1">
        <v>230</v>
      </c>
      <c r="G4" s="1">
        <v>5060</v>
      </c>
      <c r="H4" s="1">
        <v>0.11</v>
      </c>
      <c r="I4" s="1" t="s">
        <v>18</v>
      </c>
    </row>
    <row r="5" spans="1:9" x14ac:dyDescent="0.3">
      <c r="A5" s="1" t="s">
        <v>19</v>
      </c>
      <c r="B5" s="1" t="s">
        <v>9</v>
      </c>
      <c r="C5" s="2">
        <v>43282</v>
      </c>
      <c r="D5" s="1" t="s">
        <v>17</v>
      </c>
      <c r="E5" s="1">
        <v>8</v>
      </c>
      <c r="F5" s="1">
        <v>230</v>
      </c>
      <c r="G5" s="1">
        <v>1840</v>
      </c>
      <c r="H5" s="1">
        <v>0.03</v>
      </c>
      <c r="I5" s="1" t="s">
        <v>20</v>
      </c>
    </row>
    <row r="6" spans="1:9" x14ac:dyDescent="0.3">
      <c r="A6" s="1" t="s">
        <v>21</v>
      </c>
      <c r="B6" s="1" t="s">
        <v>22</v>
      </c>
      <c r="C6" s="2">
        <v>43282</v>
      </c>
      <c r="D6" s="1" t="s">
        <v>17</v>
      </c>
      <c r="E6" s="1">
        <v>12</v>
      </c>
      <c r="F6" s="1">
        <v>230</v>
      </c>
      <c r="G6" s="1">
        <v>2760</v>
      </c>
      <c r="H6" s="1">
        <v>0.03</v>
      </c>
      <c r="I6" s="1" t="s">
        <v>23</v>
      </c>
    </row>
    <row r="7" spans="1:9" x14ac:dyDescent="0.3">
      <c r="A7" s="1" t="s">
        <v>24</v>
      </c>
      <c r="B7" s="1" t="s">
        <v>25</v>
      </c>
      <c r="C7" s="2">
        <v>43282</v>
      </c>
      <c r="D7" s="1" t="s">
        <v>10</v>
      </c>
      <c r="E7" s="1">
        <v>19</v>
      </c>
      <c r="F7" s="1">
        <v>80</v>
      </c>
      <c r="G7" s="1">
        <v>1520</v>
      </c>
      <c r="H7" s="1">
        <v>0.02</v>
      </c>
      <c r="I7" s="1" t="s">
        <v>26</v>
      </c>
    </row>
    <row r="8" spans="1:9" x14ac:dyDescent="0.3">
      <c r="A8" s="1" t="s">
        <v>27</v>
      </c>
      <c r="B8" s="1" t="s">
        <v>28</v>
      </c>
      <c r="C8" s="2">
        <v>43282</v>
      </c>
      <c r="D8" s="1" t="s">
        <v>29</v>
      </c>
      <c r="E8" s="1">
        <v>17</v>
      </c>
      <c r="F8" s="1">
        <v>16</v>
      </c>
      <c r="G8" s="1">
        <v>272</v>
      </c>
      <c r="H8" s="1">
        <v>0.08</v>
      </c>
      <c r="I8" s="1" t="s">
        <v>30</v>
      </c>
    </row>
    <row r="9" spans="1:9" x14ac:dyDescent="0.3">
      <c r="A9" s="1" t="s">
        <v>31</v>
      </c>
      <c r="B9" s="1" t="s">
        <v>25</v>
      </c>
      <c r="C9" s="2">
        <v>43282</v>
      </c>
      <c r="D9" s="1" t="s">
        <v>32</v>
      </c>
      <c r="E9" s="1">
        <v>7</v>
      </c>
      <c r="F9" s="1">
        <v>150</v>
      </c>
      <c r="G9" s="1">
        <v>1050</v>
      </c>
      <c r="H9" s="1">
        <v>0.05</v>
      </c>
      <c r="I9" s="1" t="s">
        <v>33</v>
      </c>
    </row>
    <row r="10" spans="1:9" x14ac:dyDescent="0.3">
      <c r="A10" s="1" t="s">
        <v>34</v>
      </c>
      <c r="B10" s="1" t="s">
        <v>25</v>
      </c>
      <c r="C10" s="2">
        <v>43282</v>
      </c>
      <c r="D10" s="1" t="s">
        <v>32</v>
      </c>
      <c r="E10" s="1">
        <v>20</v>
      </c>
      <c r="F10" s="1">
        <v>150</v>
      </c>
      <c r="G10" s="1">
        <v>3000</v>
      </c>
      <c r="H10" s="1">
        <v>0.1</v>
      </c>
      <c r="I10" s="1" t="s">
        <v>35</v>
      </c>
    </row>
    <row r="11" spans="1:9" x14ac:dyDescent="0.3">
      <c r="A11" s="1" t="s">
        <v>36</v>
      </c>
      <c r="B11" s="1" t="s">
        <v>9</v>
      </c>
      <c r="C11" s="2">
        <v>43282</v>
      </c>
      <c r="D11" s="1" t="s">
        <v>29</v>
      </c>
      <c r="E11" s="1">
        <v>21</v>
      </c>
      <c r="F11" s="1">
        <v>16</v>
      </c>
      <c r="G11" s="1">
        <v>336</v>
      </c>
      <c r="H11" s="1">
        <v>0.09</v>
      </c>
      <c r="I11" s="1" t="s">
        <v>37</v>
      </c>
    </row>
    <row r="12" spans="1:9" x14ac:dyDescent="0.3">
      <c r="A12" s="1" t="s">
        <v>38</v>
      </c>
      <c r="B12" s="1" t="s">
        <v>13</v>
      </c>
      <c r="C12" s="2">
        <v>43282</v>
      </c>
      <c r="D12" s="1" t="s">
        <v>17</v>
      </c>
      <c r="E12" s="1">
        <v>7</v>
      </c>
      <c r="F12" s="1">
        <v>230</v>
      </c>
      <c r="G12" s="1">
        <v>1610</v>
      </c>
      <c r="H12" s="1">
        <v>0.01</v>
      </c>
      <c r="I12" s="1" t="s">
        <v>39</v>
      </c>
    </row>
    <row r="13" spans="1:9" x14ac:dyDescent="0.3">
      <c r="A13" s="1" t="s">
        <v>40</v>
      </c>
      <c r="B13" s="1" t="s">
        <v>25</v>
      </c>
      <c r="C13" s="2">
        <v>43283</v>
      </c>
      <c r="D13" s="1" t="s">
        <v>10</v>
      </c>
      <c r="E13" s="1">
        <v>7</v>
      </c>
      <c r="F13" s="1">
        <v>80</v>
      </c>
      <c r="G13" s="1">
        <v>560</v>
      </c>
      <c r="H13" s="1">
        <v>7.0000000000000007E-2</v>
      </c>
      <c r="I13" s="1" t="s">
        <v>41</v>
      </c>
    </row>
    <row r="14" spans="1:9" x14ac:dyDescent="0.3">
      <c r="A14" s="1" t="s">
        <v>42</v>
      </c>
      <c r="B14" s="1" t="s">
        <v>28</v>
      </c>
      <c r="C14" s="2">
        <v>43283</v>
      </c>
      <c r="D14" s="1" t="s">
        <v>10</v>
      </c>
      <c r="E14" s="1">
        <v>9</v>
      </c>
      <c r="F14" s="1">
        <v>80</v>
      </c>
      <c r="G14" s="1">
        <v>720</v>
      </c>
      <c r="H14" s="1">
        <v>0.02</v>
      </c>
      <c r="I14" s="1" t="s">
        <v>11</v>
      </c>
    </row>
    <row r="15" spans="1:9" x14ac:dyDescent="0.3">
      <c r="A15" s="1" t="s">
        <v>43</v>
      </c>
      <c r="B15" s="1" t="s">
        <v>28</v>
      </c>
      <c r="C15" s="2">
        <v>43283</v>
      </c>
      <c r="D15" s="1" t="s">
        <v>14</v>
      </c>
      <c r="E15" s="1">
        <v>16</v>
      </c>
      <c r="F15" s="1">
        <v>40</v>
      </c>
      <c r="G15" s="1">
        <v>640</v>
      </c>
      <c r="H15" s="1">
        <v>0.09</v>
      </c>
      <c r="I15" s="1" t="s">
        <v>15</v>
      </c>
    </row>
    <row r="16" spans="1:9" x14ac:dyDescent="0.3">
      <c r="A16" s="1" t="s">
        <v>44</v>
      </c>
      <c r="B16" s="1" t="s">
        <v>13</v>
      </c>
      <c r="C16" s="2">
        <v>43283</v>
      </c>
      <c r="D16" s="1" t="s">
        <v>32</v>
      </c>
      <c r="E16" s="1">
        <v>23</v>
      </c>
      <c r="F16" s="1">
        <v>150</v>
      </c>
      <c r="G16" s="1">
        <v>3450</v>
      </c>
      <c r="H16" s="1">
        <v>0.11</v>
      </c>
      <c r="I16" s="1" t="s">
        <v>18</v>
      </c>
    </row>
    <row r="17" spans="1:9" x14ac:dyDescent="0.3">
      <c r="A17" s="1" t="s">
        <v>45</v>
      </c>
      <c r="B17" s="1" t="s">
        <v>25</v>
      </c>
      <c r="C17" s="2">
        <v>43283</v>
      </c>
      <c r="D17" s="1" t="s">
        <v>29</v>
      </c>
      <c r="E17" s="1">
        <v>22</v>
      </c>
      <c r="F17" s="1">
        <v>16</v>
      </c>
      <c r="G17" s="1">
        <v>352</v>
      </c>
      <c r="H17" s="1">
        <v>0.03</v>
      </c>
      <c r="I17" s="1" t="s">
        <v>46</v>
      </c>
    </row>
    <row r="18" spans="1:9" x14ac:dyDescent="0.3">
      <c r="A18" s="1" t="s">
        <v>47</v>
      </c>
      <c r="B18" s="1" t="s">
        <v>25</v>
      </c>
      <c r="C18" s="2">
        <v>43283</v>
      </c>
      <c r="D18" s="1" t="s">
        <v>14</v>
      </c>
      <c r="E18" s="1">
        <v>23</v>
      </c>
      <c r="F18" s="1">
        <v>40</v>
      </c>
      <c r="G18" s="1">
        <v>920</v>
      </c>
      <c r="H18" s="1">
        <v>0.06</v>
      </c>
      <c r="I18" s="1" t="s">
        <v>23</v>
      </c>
    </row>
    <row r="19" spans="1:9" x14ac:dyDescent="0.3">
      <c r="A19" s="1" t="s">
        <v>48</v>
      </c>
      <c r="B19" s="1" t="s">
        <v>9</v>
      </c>
      <c r="C19" s="2">
        <v>43283</v>
      </c>
      <c r="D19" s="1" t="s">
        <v>10</v>
      </c>
      <c r="E19" s="1">
        <v>20</v>
      </c>
      <c r="F19" s="1">
        <v>80</v>
      </c>
      <c r="G19" s="1">
        <v>1600</v>
      </c>
      <c r="H19" s="1">
        <v>0.01</v>
      </c>
      <c r="I19" s="1" t="s">
        <v>26</v>
      </c>
    </row>
    <row r="20" spans="1:9" x14ac:dyDescent="0.3">
      <c r="A20" s="1" t="s">
        <v>49</v>
      </c>
      <c r="B20" s="1" t="s">
        <v>25</v>
      </c>
      <c r="C20" s="2">
        <v>43284</v>
      </c>
      <c r="D20" s="1" t="s">
        <v>10</v>
      </c>
      <c r="E20" s="1">
        <v>11</v>
      </c>
      <c r="F20" s="1">
        <v>80</v>
      </c>
      <c r="G20" s="1">
        <v>880</v>
      </c>
      <c r="H20" s="1">
        <v>0.01</v>
      </c>
      <c r="I20" s="1" t="s">
        <v>30</v>
      </c>
    </row>
    <row r="21" spans="1:9" x14ac:dyDescent="0.3">
      <c r="A21" s="1" t="s">
        <v>50</v>
      </c>
      <c r="B21" s="1" t="s">
        <v>25</v>
      </c>
      <c r="C21" s="2">
        <v>43284</v>
      </c>
      <c r="D21" s="1" t="s">
        <v>14</v>
      </c>
      <c r="E21" s="1">
        <v>9</v>
      </c>
      <c r="F21" s="1">
        <v>40</v>
      </c>
      <c r="G21" s="1">
        <v>360</v>
      </c>
      <c r="H21" s="1">
        <v>0.06</v>
      </c>
      <c r="I21" s="1" t="s">
        <v>33</v>
      </c>
    </row>
    <row r="22" spans="1:9" x14ac:dyDescent="0.3">
      <c r="A22" s="1" t="s">
        <v>51</v>
      </c>
      <c r="B22" s="1" t="s">
        <v>28</v>
      </c>
      <c r="C22" s="2">
        <v>43284</v>
      </c>
      <c r="D22" s="1" t="s">
        <v>10</v>
      </c>
      <c r="E22" s="1">
        <v>16</v>
      </c>
      <c r="F22" s="1">
        <v>80</v>
      </c>
      <c r="G22" s="1">
        <v>1280</v>
      </c>
      <c r="H22" s="1">
        <v>0.09</v>
      </c>
      <c r="I22" s="1" t="s">
        <v>35</v>
      </c>
    </row>
    <row r="23" spans="1:9" x14ac:dyDescent="0.3">
      <c r="A23" s="1" t="s">
        <v>52</v>
      </c>
      <c r="B23" s="1" t="s">
        <v>22</v>
      </c>
      <c r="C23" s="2">
        <v>43284</v>
      </c>
      <c r="D23" s="1" t="s">
        <v>10</v>
      </c>
      <c r="E23" s="1">
        <v>10</v>
      </c>
      <c r="F23" s="1">
        <v>80</v>
      </c>
      <c r="G23" s="1">
        <v>800</v>
      </c>
      <c r="H23" s="1">
        <v>0.08</v>
      </c>
      <c r="I23" s="1" t="s">
        <v>37</v>
      </c>
    </row>
    <row r="24" spans="1:9" x14ac:dyDescent="0.3">
      <c r="A24" s="1" t="s">
        <v>53</v>
      </c>
      <c r="B24" s="1" t="s">
        <v>22</v>
      </c>
      <c r="C24" s="2">
        <v>43284</v>
      </c>
      <c r="D24" s="1" t="s">
        <v>29</v>
      </c>
      <c r="E24" s="1">
        <v>12</v>
      </c>
      <c r="F24" s="1">
        <v>16</v>
      </c>
      <c r="G24" s="1">
        <v>192</v>
      </c>
      <c r="H24" s="1">
        <v>0.11</v>
      </c>
      <c r="I24" s="1" t="s">
        <v>39</v>
      </c>
    </row>
    <row r="25" spans="1:9" x14ac:dyDescent="0.3">
      <c r="A25" s="1" t="s">
        <v>54</v>
      </c>
      <c r="B25" s="1" t="s">
        <v>25</v>
      </c>
      <c r="C25" s="2">
        <v>43284</v>
      </c>
      <c r="D25" s="1" t="s">
        <v>32</v>
      </c>
      <c r="E25" s="1">
        <v>6</v>
      </c>
      <c r="F25" s="1">
        <v>150</v>
      </c>
      <c r="G25" s="1">
        <v>900</v>
      </c>
      <c r="H25" s="1">
        <v>0.03</v>
      </c>
      <c r="I25" s="1" t="s">
        <v>41</v>
      </c>
    </row>
    <row r="26" spans="1:9" x14ac:dyDescent="0.3">
      <c r="A26" s="1" t="s">
        <v>55</v>
      </c>
      <c r="B26" s="1" t="s">
        <v>22</v>
      </c>
      <c r="C26" s="2">
        <v>43284</v>
      </c>
      <c r="D26" s="1" t="s">
        <v>29</v>
      </c>
      <c r="E26" s="1">
        <v>11</v>
      </c>
      <c r="F26" s="1">
        <v>16</v>
      </c>
      <c r="G26" s="1">
        <v>176</v>
      </c>
      <c r="H26" s="1">
        <v>0.04</v>
      </c>
      <c r="I26" s="1" t="s">
        <v>11</v>
      </c>
    </row>
    <row r="27" spans="1:9" x14ac:dyDescent="0.3">
      <c r="A27" s="1" t="s">
        <v>56</v>
      </c>
      <c r="B27" s="1" t="s">
        <v>25</v>
      </c>
      <c r="C27" s="2">
        <v>43284</v>
      </c>
      <c r="D27" s="1" t="s">
        <v>10</v>
      </c>
      <c r="E27" s="1">
        <v>22</v>
      </c>
      <c r="F27" s="1">
        <v>80</v>
      </c>
      <c r="G27" s="1">
        <v>1760</v>
      </c>
      <c r="H27" s="1">
        <v>0.03</v>
      </c>
      <c r="I27" s="1" t="s">
        <v>15</v>
      </c>
    </row>
    <row r="28" spans="1:9" x14ac:dyDescent="0.3">
      <c r="A28" s="1" t="s">
        <v>57</v>
      </c>
      <c r="B28" s="1" t="s">
        <v>13</v>
      </c>
      <c r="C28" s="2">
        <v>43284</v>
      </c>
      <c r="D28" s="1" t="s">
        <v>29</v>
      </c>
      <c r="E28" s="1">
        <v>7</v>
      </c>
      <c r="F28" s="1">
        <v>16</v>
      </c>
      <c r="G28" s="1">
        <v>112</v>
      </c>
      <c r="H28" s="1">
        <v>0.08</v>
      </c>
      <c r="I28" s="1" t="s">
        <v>18</v>
      </c>
    </row>
    <row r="29" spans="1:9" x14ac:dyDescent="0.3">
      <c r="A29" s="1" t="s">
        <v>58</v>
      </c>
      <c r="B29" s="1" t="s">
        <v>25</v>
      </c>
      <c r="C29" s="2">
        <v>43284</v>
      </c>
      <c r="D29" s="1" t="s">
        <v>14</v>
      </c>
      <c r="E29" s="1">
        <v>13</v>
      </c>
      <c r="F29" s="1">
        <v>40</v>
      </c>
      <c r="G29" s="1">
        <v>520</v>
      </c>
      <c r="H29" s="1">
        <v>0.09</v>
      </c>
      <c r="I29" s="1" t="s">
        <v>46</v>
      </c>
    </row>
    <row r="30" spans="1:9" x14ac:dyDescent="0.3">
      <c r="A30" s="1" t="s">
        <v>59</v>
      </c>
      <c r="B30" s="1" t="s">
        <v>25</v>
      </c>
      <c r="C30" s="2">
        <v>43284</v>
      </c>
      <c r="D30" s="1" t="s">
        <v>17</v>
      </c>
      <c r="E30" s="1">
        <v>8</v>
      </c>
      <c r="F30" s="1">
        <v>230</v>
      </c>
      <c r="G30" s="1">
        <v>1840</v>
      </c>
      <c r="H30" s="1">
        <v>0.05</v>
      </c>
      <c r="I30" s="1" t="s">
        <v>23</v>
      </c>
    </row>
    <row r="31" spans="1:9" x14ac:dyDescent="0.3">
      <c r="A31" s="1" t="s">
        <v>60</v>
      </c>
      <c r="B31" s="1" t="s">
        <v>25</v>
      </c>
      <c r="C31" s="2">
        <v>43284</v>
      </c>
      <c r="D31" s="1" t="s">
        <v>29</v>
      </c>
      <c r="E31" s="1">
        <v>14</v>
      </c>
      <c r="F31" s="1">
        <v>16</v>
      </c>
      <c r="G31" s="1">
        <v>224</v>
      </c>
      <c r="H31" s="1">
        <v>0.12</v>
      </c>
      <c r="I31" s="1" t="s">
        <v>26</v>
      </c>
    </row>
    <row r="32" spans="1:9" x14ac:dyDescent="0.3">
      <c r="A32" s="1" t="s">
        <v>61</v>
      </c>
      <c r="B32" s="1" t="s">
        <v>28</v>
      </c>
      <c r="C32" s="2">
        <v>43284</v>
      </c>
      <c r="D32" s="1" t="s">
        <v>14</v>
      </c>
      <c r="E32" s="1">
        <v>16</v>
      </c>
      <c r="F32" s="1">
        <v>40</v>
      </c>
      <c r="G32" s="1">
        <v>640</v>
      </c>
      <c r="H32" s="1">
        <v>0.09</v>
      </c>
      <c r="I32" s="1" t="s">
        <v>30</v>
      </c>
    </row>
    <row r="33" spans="1:9" x14ac:dyDescent="0.3">
      <c r="A33" s="1" t="s">
        <v>62</v>
      </c>
      <c r="B33" s="1" t="s">
        <v>13</v>
      </c>
      <c r="C33" s="2">
        <v>43285</v>
      </c>
      <c r="D33" s="1" t="s">
        <v>32</v>
      </c>
      <c r="E33" s="1">
        <v>16</v>
      </c>
      <c r="F33" s="1">
        <v>150</v>
      </c>
      <c r="G33" s="1">
        <v>2400</v>
      </c>
      <c r="H33" s="1">
        <v>0.05</v>
      </c>
      <c r="I33" s="1" t="s">
        <v>33</v>
      </c>
    </row>
    <row r="34" spans="1:9" x14ac:dyDescent="0.3">
      <c r="A34" s="1" t="s">
        <v>63</v>
      </c>
      <c r="B34" s="1" t="s">
        <v>13</v>
      </c>
      <c r="C34" s="2">
        <v>43285</v>
      </c>
      <c r="D34" s="1" t="s">
        <v>14</v>
      </c>
      <c r="E34" s="1">
        <v>12</v>
      </c>
      <c r="F34" s="1">
        <v>40</v>
      </c>
      <c r="G34" s="1">
        <v>480</v>
      </c>
      <c r="H34" s="1">
        <v>0.1</v>
      </c>
      <c r="I34" s="1" t="s">
        <v>35</v>
      </c>
    </row>
    <row r="35" spans="1:9" x14ac:dyDescent="0.3">
      <c r="A35" s="1" t="s">
        <v>64</v>
      </c>
      <c r="B35" s="1" t="s">
        <v>28</v>
      </c>
      <c r="C35" s="2">
        <v>43285</v>
      </c>
      <c r="D35" s="1" t="s">
        <v>10</v>
      </c>
      <c r="E35" s="1">
        <v>17</v>
      </c>
      <c r="F35" s="1">
        <v>80</v>
      </c>
      <c r="G35" s="1">
        <v>1360</v>
      </c>
      <c r="H35" s="1">
        <v>7.0000000000000007E-2</v>
      </c>
      <c r="I35" s="1" t="s">
        <v>37</v>
      </c>
    </row>
    <row r="36" spans="1:9" x14ac:dyDescent="0.3">
      <c r="A36" s="1" t="s">
        <v>65</v>
      </c>
      <c r="B36" s="1" t="s">
        <v>25</v>
      </c>
      <c r="C36" s="2">
        <v>43285</v>
      </c>
      <c r="D36" s="1" t="s">
        <v>17</v>
      </c>
      <c r="E36" s="1">
        <v>19</v>
      </c>
      <c r="F36" s="1">
        <v>230</v>
      </c>
      <c r="G36" s="1">
        <v>4370</v>
      </c>
      <c r="H36" s="1">
        <v>0.06</v>
      </c>
      <c r="I36" s="1" t="s">
        <v>39</v>
      </c>
    </row>
    <row r="37" spans="1:9" x14ac:dyDescent="0.3">
      <c r="A37" s="1" t="s">
        <v>66</v>
      </c>
      <c r="B37" s="1" t="s">
        <v>28</v>
      </c>
      <c r="C37" s="2">
        <v>43285</v>
      </c>
      <c r="D37" s="1" t="s">
        <v>17</v>
      </c>
      <c r="E37" s="1">
        <v>22</v>
      </c>
      <c r="F37" s="1">
        <v>230</v>
      </c>
      <c r="G37" s="1">
        <v>5060</v>
      </c>
      <c r="H37" s="1">
        <v>0.1</v>
      </c>
      <c r="I37" s="1" t="s">
        <v>41</v>
      </c>
    </row>
    <row r="38" spans="1:9" x14ac:dyDescent="0.3">
      <c r="A38" s="1" t="s">
        <v>67</v>
      </c>
      <c r="B38" s="1" t="s">
        <v>25</v>
      </c>
      <c r="C38" s="2">
        <v>43285</v>
      </c>
      <c r="D38" s="1" t="s">
        <v>14</v>
      </c>
      <c r="E38" s="1">
        <v>22</v>
      </c>
      <c r="F38" s="1">
        <v>40</v>
      </c>
      <c r="G38" s="1">
        <v>880</v>
      </c>
      <c r="H38" s="1">
        <v>0.01</v>
      </c>
      <c r="I38" s="1" t="s">
        <v>11</v>
      </c>
    </row>
    <row r="39" spans="1:9" x14ac:dyDescent="0.3">
      <c r="A39" s="1" t="s">
        <v>68</v>
      </c>
      <c r="B39" s="1" t="s">
        <v>25</v>
      </c>
      <c r="C39" s="2">
        <v>43285</v>
      </c>
      <c r="D39" s="1" t="s">
        <v>29</v>
      </c>
      <c r="E39" s="1">
        <v>10</v>
      </c>
      <c r="F39" s="1">
        <v>16</v>
      </c>
      <c r="G39" s="1">
        <v>160</v>
      </c>
      <c r="H39" s="1">
        <v>0.04</v>
      </c>
      <c r="I39" s="1" t="s">
        <v>15</v>
      </c>
    </row>
    <row r="40" spans="1:9" x14ac:dyDescent="0.3">
      <c r="A40" s="1" t="s">
        <v>69</v>
      </c>
      <c r="B40" s="1" t="s">
        <v>13</v>
      </c>
      <c r="C40" s="2">
        <v>43285</v>
      </c>
      <c r="D40" s="1" t="s">
        <v>14</v>
      </c>
      <c r="E40" s="1">
        <v>4</v>
      </c>
      <c r="F40" s="1">
        <v>40</v>
      </c>
      <c r="G40" s="1">
        <v>160</v>
      </c>
      <c r="H40" s="1">
        <v>0.12</v>
      </c>
      <c r="I40" s="1" t="s">
        <v>18</v>
      </c>
    </row>
    <row r="41" spans="1:9" x14ac:dyDescent="0.3">
      <c r="A41" s="1" t="s">
        <v>70</v>
      </c>
      <c r="B41" s="1" t="s">
        <v>28</v>
      </c>
      <c r="C41" s="2">
        <v>43285</v>
      </c>
      <c r="D41" s="1" t="s">
        <v>14</v>
      </c>
      <c r="E41" s="1">
        <v>20</v>
      </c>
      <c r="F41" s="1">
        <v>40</v>
      </c>
      <c r="G41" s="1">
        <v>800</v>
      </c>
      <c r="H41" s="1">
        <v>0.05</v>
      </c>
      <c r="I41" s="1" t="s">
        <v>46</v>
      </c>
    </row>
    <row r="42" spans="1:9" x14ac:dyDescent="0.3">
      <c r="A42" s="1" t="s">
        <v>71</v>
      </c>
      <c r="B42" s="1" t="s">
        <v>25</v>
      </c>
      <c r="C42" s="2">
        <v>43286</v>
      </c>
      <c r="D42" s="1" t="s">
        <v>17</v>
      </c>
      <c r="E42" s="1">
        <v>23</v>
      </c>
      <c r="F42" s="1">
        <v>230</v>
      </c>
      <c r="G42" s="1">
        <v>5290</v>
      </c>
      <c r="H42" s="1">
        <v>0.06</v>
      </c>
      <c r="I42" s="1" t="s">
        <v>23</v>
      </c>
    </row>
    <row r="43" spans="1:9" x14ac:dyDescent="0.3">
      <c r="A43" s="1" t="s">
        <v>72</v>
      </c>
      <c r="B43" s="1" t="s">
        <v>22</v>
      </c>
      <c r="C43" s="2">
        <v>43286</v>
      </c>
      <c r="D43" s="1" t="s">
        <v>14</v>
      </c>
      <c r="E43" s="1">
        <v>20</v>
      </c>
      <c r="F43" s="1">
        <v>40</v>
      </c>
      <c r="G43" s="1">
        <v>800</v>
      </c>
      <c r="H43" s="1">
        <v>0.01</v>
      </c>
      <c r="I43" s="1" t="s">
        <v>26</v>
      </c>
    </row>
    <row r="44" spans="1:9" x14ac:dyDescent="0.3">
      <c r="A44" s="1" t="s">
        <v>73</v>
      </c>
      <c r="B44" s="1" t="s">
        <v>22</v>
      </c>
      <c r="C44" s="2">
        <v>43286</v>
      </c>
      <c r="D44" s="1" t="s">
        <v>32</v>
      </c>
      <c r="E44" s="1">
        <v>20</v>
      </c>
      <c r="F44" s="1">
        <v>150</v>
      </c>
      <c r="G44" s="1">
        <v>3000</v>
      </c>
      <c r="H44" s="1">
        <v>0.04</v>
      </c>
      <c r="I44" s="1" t="s">
        <v>30</v>
      </c>
    </row>
    <row r="45" spans="1:9" x14ac:dyDescent="0.3">
      <c r="A45" s="1" t="s">
        <v>74</v>
      </c>
      <c r="B45" s="1" t="s">
        <v>13</v>
      </c>
      <c r="C45" s="2">
        <v>43286</v>
      </c>
      <c r="D45" s="1" t="s">
        <v>10</v>
      </c>
      <c r="E45" s="1">
        <v>9</v>
      </c>
      <c r="F45" s="1">
        <v>80</v>
      </c>
      <c r="G45" s="1">
        <v>720</v>
      </c>
      <c r="H45" s="1">
        <v>0.03</v>
      </c>
      <c r="I45" s="1" t="s">
        <v>33</v>
      </c>
    </row>
    <row r="46" spans="1:9" x14ac:dyDescent="0.3">
      <c r="A46" s="1" t="s">
        <v>75</v>
      </c>
      <c r="B46" s="1" t="s">
        <v>9</v>
      </c>
      <c r="C46" s="2">
        <v>43286</v>
      </c>
      <c r="D46" s="1" t="s">
        <v>17</v>
      </c>
      <c r="E46" s="1">
        <v>7</v>
      </c>
      <c r="F46" s="1">
        <v>230</v>
      </c>
      <c r="G46" s="1">
        <v>1610</v>
      </c>
      <c r="H46" s="1">
        <v>0.02</v>
      </c>
      <c r="I46" s="1" t="s">
        <v>35</v>
      </c>
    </row>
    <row r="47" spans="1:9" x14ac:dyDescent="0.3">
      <c r="A47" s="1" t="s">
        <v>76</v>
      </c>
      <c r="B47" s="1" t="s">
        <v>9</v>
      </c>
      <c r="C47" s="2">
        <v>43286</v>
      </c>
      <c r="D47" s="1" t="s">
        <v>17</v>
      </c>
      <c r="E47" s="1">
        <v>3</v>
      </c>
      <c r="F47" s="1">
        <v>230</v>
      </c>
      <c r="G47" s="1">
        <v>690</v>
      </c>
      <c r="H47" s="1">
        <v>0.06</v>
      </c>
      <c r="I47" s="1" t="s">
        <v>37</v>
      </c>
    </row>
    <row r="48" spans="1:9" x14ac:dyDescent="0.3">
      <c r="A48" s="1" t="s">
        <v>77</v>
      </c>
      <c r="B48" s="1" t="s">
        <v>9</v>
      </c>
      <c r="C48" s="2">
        <v>43286</v>
      </c>
      <c r="D48" s="1" t="s">
        <v>32</v>
      </c>
      <c r="E48" s="1">
        <v>13</v>
      </c>
      <c r="F48" s="1">
        <v>150</v>
      </c>
      <c r="G48" s="1">
        <v>1950</v>
      </c>
      <c r="H48" s="1">
        <v>0.05</v>
      </c>
      <c r="I48" s="1" t="s">
        <v>39</v>
      </c>
    </row>
    <row r="49" spans="1:9" x14ac:dyDescent="0.3">
      <c r="A49" s="1" t="s">
        <v>78</v>
      </c>
      <c r="B49" s="1" t="s">
        <v>9</v>
      </c>
      <c r="C49" s="2">
        <v>43286</v>
      </c>
      <c r="D49" s="1" t="s">
        <v>10</v>
      </c>
      <c r="E49" s="1">
        <v>17</v>
      </c>
      <c r="F49" s="1">
        <v>80</v>
      </c>
      <c r="G49" s="1">
        <v>1360</v>
      </c>
      <c r="H49" s="1">
        <v>0.09</v>
      </c>
      <c r="I49" s="1" t="s">
        <v>41</v>
      </c>
    </row>
    <row r="50" spans="1:9" x14ac:dyDescent="0.3">
      <c r="A50" s="1" t="s">
        <v>79</v>
      </c>
      <c r="B50" s="1" t="s">
        <v>25</v>
      </c>
      <c r="C50" s="2">
        <v>43287</v>
      </c>
      <c r="D50" s="1" t="s">
        <v>14</v>
      </c>
      <c r="E50" s="1">
        <v>18</v>
      </c>
      <c r="F50" s="1">
        <v>40</v>
      </c>
      <c r="G50" s="1">
        <v>720</v>
      </c>
      <c r="H50" s="1">
        <v>0.06</v>
      </c>
      <c r="I50" s="1" t="s">
        <v>11</v>
      </c>
    </row>
    <row r="51" spans="1:9" x14ac:dyDescent="0.3">
      <c r="A51" s="1" t="s">
        <v>80</v>
      </c>
      <c r="B51" s="1" t="s">
        <v>22</v>
      </c>
      <c r="C51" s="2">
        <v>43287</v>
      </c>
      <c r="D51" s="1" t="s">
        <v>29</v>
      </c>
      <c r="E51" s="1">
        <v>23</v>
      </c>
      <c r="F51" s="1">
        <v>16</v>
      </c>
      <c r="G51" s="1">
        <v>368</v>
      </c>
      <c r="H51" s="1">
        <v>0.11</v>
      </c>
      <c r="I51" s="1" t="s">
        <v>15</v>
      </c>
    </row>
    <row r="52" spans="1:9" x14ac:dyDescent="0.3">
      <c r="A52" s="1" t="s">
        <v>81</v>
      </c>
      <c r="B52" s="1" t="s">
        <v>22</v>
      </c>
      <c r="C52" s="2">
        <v>43287</v>
      </c>
      <c r="D52" s="1" t="s">
        <v>17</v>
      </c>
      <c r="E52" s="1">
        <v>20</v>
      </c>
      <c r="F52" s="1">
        <v>230</v>
      </c>
      <c r="G52" s="1">
        <v>4600</v>
      </c>
      <c r="H52" s="1">
        <v>0.06</v>
      </c>
      <c r="I52" s="1" t="s">
        <v>18</v>
      </c>
    </row>
    <row r="53" spans="1:9" x14ac:dyDescent="0.3">
      <c r="A53" s="1" t="s">
        <v>82</v>
      </c>
      <c r="B53" s="1" t="s">
        <v>9</v>
      </c>
      <c r="C53" s="2">
        <v>43287</v>
      </c>
      <c r="D53" s="1" t="s">
        <v>29</v>
      </c>
      <c r="E53" s="1">
        <v>11</v>
      </c>
      <c r="F53" s="1">
        <v>16</v>
      </c>
      <c r="G53" s="1">
        <v>176</v>
      </c>
      <c r="H53" s="1">
        <v>0.09</v>
      </c>
      <c r="I53" s="1" t="s">
        <v>46</v>
      </c>
    </row>
    <row r="54" spans="1:9" x14ac:dyDescent="0.3">
      <c r="A54" s="1" t="s">
        <v>83</v>
      </c>
      <c r="B54" s="1" t="s">
        <v>28</v>
      </c>
      <c r="C54" s="2">
        <v>43287</v>
      </c>
      <c r="D54" s="1" t="s">
        <v>32</v>
      </c>
      <c r="E54" s="1">
        <v>15</v>
      </c>
      <c r="F54" s="1">
        <v>150</v>
      </c>
      <c r="G54" s="1">
        <v>2250</v>
      </c>
      <c r="H54" s="1">
        <v>7.0000000000000007E-2</v>
      </c>
      <c r="I54" s="1" t="s">
        <v>23</v>
      </c>
    </row>
    <row r="55" spans="1:9" x14ac:dyDescent="0.3">
      <c r="A55" s="1" t="s">
        <v>84</v>
      </c>
      <c r="B55" s="1" t="s">
        <v>13</v>
      </c>
      <c r="C55" s="2">
        <v>43287</v>
      </c>
      <c r="D55" s="1" t="s">
        <v>17</v>
      </c>
      <c r="E55" s="1">
        <v>6</v>
      </c>
      <c r="F55" s="1">
        <v>230</v>
      </c>
      <c r="G55" s="1">
        <v>1380</v>
      </c>
      <c r="H55" s="1">
        <v>0.1</v>
      </c>
      <c r="I55" s="1" t="s">
        <v>26</v>
      </c>
    </row>
    <row r="56" spans="1:9" x14ac:dyDescent="0.3">
      <c r="A56" s="1" t="s">
        <v>85</v>
      </c>
      <c r="B56" s="1" t="s">
        <v>9</v>
      </c>
      <c r="C56" s="2">
        <v>43287</v>
      </c>
      <c r="D56" s="1" t="s">
        <v>14</v>
      </c>
      <c r="E56" s="1">
        <v>22</v>
      </c>
      <c r="F56" s="1">
        <v>40</v>
      </c>
      <c r="G56" s="1">
        <v>880</v>
      </c>
      <c r="H56" s="1">
        <v>0.02</v>
      </c>
      <c r="I56" s="1" t="s">
        <v>30</v>
      </c>
    </row>
    <row r="57" spans="1:9" x14ac:dyDescent="0.3">
      <c r="A57" s="1" t="s">
        <v>86</v>
      </c>
      <c r="B57" s="1" t="s">
        <v>9</v>
      </c>
      <c r="C57" s="2">
        <v>43287</v>
      </c>
      <c r="D57" s="1" t="s">
        <v>14</v>
      </c>
      <c r="E57" s="1">
        <v>15</v>
      </c>
      <c r="F57" s="1">
        <v>40</v>
      </c>
      <c r="G57" s="1">
        <v>600</v>
      </c>
      <c r="H57" s="1">
        <v>0.06</v>
      </c>
      <c r="I57" s="1" t="s">
        <v>33</v>
      </c>
    </row>
    <row r="58" spans="1:9" x14ac:dyDescent="0.3">
      <c r="A58" s="1" t="s">
        <v>87</v>
      </c>
      <c r="B58" s="1" t="s">
        <v>22</v>
      </c>
      <c r="C58" s="2">
        <v>43287</v>
      </c>
      <c r="D58" s="1" t="s">
        <v>29</v>
      </c>
      <c r="E58" s="1">
        <v>12</v>
      </c>
      <c r="F58" s="1">
        <v>16</v>
      </c>
      <c r="G58" s="1">
        <v>192</v>
      </c>
      <c r="H58" s="1">
        <v>0.03</v>
      </c>
      <c r="I58" s="1" t="s">
        <v>35</v>
      </c>
    </row>
    <row r="59" spans="1:9" x14ac:dyDescent="0.3">
      <c r="A59" s="1" t="s">
        <v>88</v>
      </c>
      <c r="B59" s="1" t="s">
        <v>28</v>
      </c>
      <c r="C59" s="2">
        <v>43287</v>
      </c>
      <c r="D59" s="1" t="s">
        <v>29</v>
      </c>
      <c r="E59" s="1">
        <v>22</v>
      </c>
      <c r="F59" s="1">
        <v>16</v>
      </c>
      <c r="G59" s="1">
        <v>352</v>
      </c>
      <c r="H59" s="1">
        <v>0.12</v>
      </c>
      <c r="I59" s="1" t="s">
        <v>37</v>
      </c>
    </row>
    <row r="60" spans="1:9" x14ac:dyDescent="0.3">
      <c r="A60" s="1" t="s">
        <v>89</v>
      </c>
      <c r="B60" s="1" t="s">
        <v>9</v>
      </c>
      <c r="C60" s="2">
        <v>43287</v>
      </c>
      <c r="D60" s="1" t="s">
        <v>10</v>
      </c>
      <c r="E60" s="1">
        <v>21</v>
      </c>
      <c r="F60" s="1">
        <v>80</v>
      </c>
      <c r="G60" s="1">
        <v>1680</v>
      </c>
      <c r="H60" s="1">
        <v>0.04</v>
      </c>
      <c r="I60" s="1" t="s">
        <v>39</v>
      </c>
    </row>
    <row r="61" spans="1:9" x14ac:dyDescent="0.3">
      <c r="A61" s="1" t="s">
        <v>90</v>
      </c>
      <c r="B61" s="1" t="s">
        <v>9</v>
      </c>
      <c r="C61" s="2">
        <v>43287</v>
      </c>
      <c r="D61" s="1" t="s">
        <v>32</v>
      </c>
      <c r="E61" s="1">
        <v>22</v>
      </c>
      <c r="F61" s="1">
        <v>150</v>
      </c>
      <c r="G61" s="1">
        <v>3300</v>
      </c>
      <c r="H61" s="1">
        <v>0.05</v>
      </c>
      <c r="I61" s="1" t="s">
        <v>41</v>
      </c>
    </row>
    <row r="62" spans="1:9" x14ac:dyDescent="0.3">
      <c r="A62" s="1" t="s">
        <v>91</v>
      </c>
      <c r="B62" s="1" t="s">
        <v>28</v>
      </c>
      <c r="C62" s="2">
        <v>43287</v>
      </c>
      <c r="D62" s="1" t="s">
        <v>10</v>
      </c>
      <c r="E62" s="1">
        <v>21</v>
      </c>
      <c r="F62" s="1">
        <v>80</v>
      </c>
      <c r="G62" s="1">
        <v>1680</v>
      </c>
      <c r="H62" s="1">
        <v>0.09</v>
      </c>
      <c r="I62" s="1" t="s">
        <v>11</v>
      </c>
    </row>
    <row r="63" spans="1:9" x14ac:dyDescent="0.3">
      <c r="A63" s="1" t="s">
        <v>92</v>
      </c>
      <c r="B63" s="1" t="s">
        <v>25</v>
      </c>
      <c r="C63" s="2">
        <v>43287</v>
      </c>
      <c r="D63" s="1" t="s">
        <v>10</v>
      </c>
      <c r="E63" s="1">
        <v>10</v>
      </c>
      <c r="F63" s="1">
        <v>80</v>
      </c>
      <c r="G63" s="1">
        <v>800</v>
      </c>
      <c r="H63" s="1">
        <v>0.1</v>
      </c>
      <c r="I63" s="1" t="s">
        <v>15</v>
      </c>
    </row>
    <row r="64" spans="1:9" x14ac:dyDescent="0.3">
      <c r="A64" s="1" t="s">
        <v>93</v>
      </c>
      <c r="B64" s="1" t="s">
        <v>13</v>
      </c>
      <c r="C64" s="2">
        <v>43287</v>
      </c>
      <c r="D64" s="1" t="s">
        <v>17</v>
      </c>
      <c r="E64" s="1">
        <v>15</v>
      </c>
      <c r="F64" s="1">
        <v>230</v>
      </c>
      <c r="G64" s="1">
        <v>3450</v>
      </c>
      <c r="H64" s="1">
        <v>0.09</v>
      </c>
      <c r="I64" s="1" t="s">
        <v>18</v>
      </c>
    </row>
    <row r="65" spans="1:9" x14ac:dyDescent="0.3">
      <c r="A65" s="1" t="s">
        <v>94</v>
      </c>
      <c r="B65" s="1" t="s">
        <v>9</v>
      </c>
      <c r="C65" s="2">
        <v>43288</v>
      </c>
      <c r="D65" s="1" t="s">
        <v>10</v>
      </c>
      <c r="E65" s="1">
        <v>14</v>
      </c>
      <c r="F65" s="1">
        <v>80</v>
      </c>
      <c r="G65" s="1">
        <v>1120</v>
      </c>
      <c r="H65" s="1">
        <v>0.08</v>
      </c>
      <c r="I65" s="1" t="s">
        <v>46</v>
      </c>
    </row>
    <row r="66" spans="1:9" x14ac:dyDescent="0.3">
      <c r="A66" s="1" t="s">
        <v>95</v>
      </c>
      <c r="B66" s="1" t="s">
        <v>28</v>
      </c>
      <c r="C66" s="2">
        <v>43288</v>
      </c>
      <c r="D66" s="1" t="s">
        <v>10</v>
      </c>
      <c r="E66" s="1">
        <v>10</v>
      </c>
      <c r="F66" s="1">
        <v>80</v>
      </c>
      <c r="G66" s="1">
        <v>800</v>
      </c>
      <c r="H66" s="1">
        <v>0.06</v>
      </c>
      <c r="I66" s="1" t="s">
        <v>23</v>
      </c>
    </row>
    <row r="67" spans="1:9" x14ac:dyDescent="0.3">
      <c r="A67" s="1" t="s">
        <v>96</v>
      </c>
      <c r="B67" s="1" t="s">
        <v>9</v>
      </c>
      <c r="C67" s="2">
        <v>43288</v>
      </c>
      <c r="D67" s="1" t="s">
        <v>32</v>
      </c>
      <c r="E67" s="1">
        <v>5</v>
      </c>
      <c r="F67" s="1">
        <v>150</v>
      </c>
      <c r="G67" s="1">
        <v>750</v>
      </c>
      <c r="H67" s="1">
        <v>0.11</v>
      </c>
      <c r="I67" s="1" t="s">
        <v>26</v>
      </c>
    </row>
    <row r="68" spans="1:9" x14ac:dyDescent="0.3">
      <c r="A68" s="1" t="s">
        <v>97</v>
      </c>
      <c r="B68" s="1" t="s">
        <v>25</v>
      </c>
      <c r="C68" s="2">
        <v>43288</v>
      </c>
      <c r="D68" s="1" t="s">
        <v>17</v>
      </c>
      <c r="E68" s="1">
        <v>3</v>
      </c>
      <c r="F68" s="1">
        <v>230</v>
      </c>
      <c r="G68" s="1">
        <v>690</v>
      </c>
      <c r="H68" s="1">
        <v>0.01</v>
      </c>
      <c r="I68" s="1" t="s">
        <v>30</v>
      </c>
    </row>
    <row r="69" spans="1:9" x14ac:dyDescent="0.3">
      <c r="A69" s="1" t="s">
        <v>98</v>
      </c>
      <c r="B69" s="1" t="s">
        <v>25</v>
      </c>
      <c r="C69" s="2">
        <v>43288</v>
      </c>
      <c r="D69" s="1" t="s">
        <v>14</v>
      </c>
      <c r="E69" s="1">
        <v>4</v>
      </c>
      <c r="F69" s="1">
        <v>40</v>
      </c>
      <c r="G69" s="1">
        <v>160</v>
      </c>
      <c r="H69" s="1">
        <v>0.05</v>
      </c>
      <c r="I69" s="1" t="s">
        <v>33</v>
      </c>
    </row>
    <row r="70" spans="1:9" x14ac:dyDescent="0.3">
      <c r="A70" s="1" t="s">
        <v>99</v>
      </c>
      <c r="B70" s="1" t="s">
        <v>22</v>
      </c>
      <c r="C70" s="2">
        <v>43288</v>
      </c>
      <c r="D70" s="1" t="s">
        <v>32</v>
      </c>
      <c r="E70" s="1">
        <v>18</v>
      </c>
      <c r="F70" s="1">
        <v>150</v>
      </c>
      <c r="G70" s="1">
        <v>2700</v>
      </c>
      <c r="H70" s="1">
        <v>0.06</v>
      </c>
      <c r="I70" s="1" t="s">
        <v>35</v>
      </c>
    </row>
    <row r="71" spans="1:9" x14ac:dyDescent="0.3">
      <c r="A71" s="1" t="s">
        <v>100</v>
      </c>
      <c r="B71" s="1" t="s">
        <v>28</v>
      </c>
      <c r="C71" s="2">
        <v>43288</v>
      </c>
      <c r="D71" s="1" t="s">
        <v>14</v>
      </c>
      <c r="E71" s="1">
        <v>20</v>
      </c>
      <c r="F71" s="1">
        <v>40</v>
      </c>
      <c r="G71" s="1">
        <v>800</v>
      </c>
      <c r="H71" s="1">
        <v>0.1</v>
      </c>
      <c r="I71" s="1" t="s">
        <v>37</v>
      </c>
    </row>
    <row r="72" spans="1:9" x14ac:dyDescent="0.3">
      <c r="A72" s="1" t="s">
        <v>101</v>
      </c>
      <c r="B72" s="1" t="s">
        <v>25</v>
      </c>
      <c r="C72" s="2">
        <v>43288</v>
      </c>
      <c r="D72" s="1" t="s">
        <v>10</v>
      </c>
      <c r="E72" s="1">
        <v>16</v>
      </c>
      <c r="F72" s="1">
        <v>80</v>
      </c>
      <c r="G72" s="1">
        <v>1280</v>
      </c>
      <c r="H72" s="1">
        <v>0.05</v>
      </c>
      <c r="I72" s="1" t="s">
        <v>11</v>
      </c>
    </row>
    <row r="73" spans="1:9" x14ac:dyDescent="0.3">
      <c r="A73" s="1" t="s">
        <v>102</v>
      </c>
      <c r="B73" s="1" t="s">
        <v>22</v>
      </c>
      <c r="C73" s="2">
        <v>43288</v>
      </c>
      <c r="D73" s="1" t="s">
        <v>14</v>
      </c>
      <c r="E73" s="1">
        <v>4</v>
      </c>
      <c r="F73" s="1">
        <v>40</v>
      </c>
      <c r="G73" s="1">
        <v>160</v>
      </c>
      <c r="H73" s="1">
        <v>0.06</v>
      </c>
      <c r="I73" s="1" t="s">
        <v>15</v>
      </c>
    </row>
    <row r="74" spans="1:9" x14ac:dyDescent="0.3">
      <c r="A74" s="1" t="s">
        <v>103</v>
      </c>
      <c r="B74" s="1" t="s">
        <v>13</v>
      </c>
      <c r="C74" s="2">
        <v>43288</v>
      </c>
      <c r="D74" s="1" t="s">
        <v>14</v>
      </c>
      <c r="E74" s="1">
        <v>4</v>
      </c>
      <c r="F74" s="1">
        <v>40</v>
      </c>
      <c r="G74" s="1">
        <v>160</v>
      </c>
      <c r="H74" s="1">
        <v>0.03</v>
      </c>
      <c r="I74" s="1" t="s">
        <v>18</v>
      </c>
    </row>
    <row r="75" spans="1:9" x14ac:dyDescent="0.3">
      <c r="A75" s="1" t="s">
        <v>104</v>
      </c>
      <c r="B75" s="1" t="s">
        <v>13</v>
      </c>
      <c r="C75" s="2">
        <v>43288</v>
      </c>
      <c r="D75" s="1" t="s">
        <v>14</v>
      </c>
      <c r="E75" s="1">
        <v>15</v>
      </c>
      <c r="F75" s="1">
        <v>40</v>
      </c>
      <c r="G75" s="1">
        <v>600</v>
      </c>
      <c r="H75" s="1">
        <v>0.02</v>
      </c>
      <c r="I75" s="1" t="s">
        <v>46</v>
      </c>
    </row>
    <row r="76" spans="1:9" x14ac:dyDescent="0.3">
      <c r="A76" s="1" t="s">
        <v>105</v>
      </c>
      <c r="B76" s="1" t="s">
        <v>22</v>
      </c>
      <c r="C76" s="2">
        <v>43288</v>
      </c>
      <c r="D76" s="1" t="s">
        <v>14</v>
      </c>
      <c r="E76" s="1">
        <v>20</v>
      </c>
      <c r="F76" s="1">
        <v>40</v>
      </c>
      <c r="G76" s="1">
        <v>800</v>
      </c>
      <c r="H76" s="1">
        <v>0.01</v>
      </c>
      <c r="I76" s="1" t="s">
        <v>23</v>
      </c>
    </row>
    <row r="77" spans="1:9" x14ac:dyDescent="0.3">
      <c r="A77" s="1" t="s">
        <v>106</v>
      </c>
      <c r="B77" s="1" t="s">
        <v>28</v>
      </c>
      <c r="C77" s="2">
        <v>43288</v>
      </c>
      <c r="D77" s="1" t="s">
        <v>29</v>
      </c>
      <c r="E77" s="1">
        <v>14</v>
      </c>
      <c r="F77" s="1">
        <v>16</v>
      </c>
      <c r="G77" s="1">
        <v>224</v>
      </c>
      <c r="H77" s="1">
        <v>0.06</v>
      </c>
      <c r="I77" s="1" t="s">
        <v>26</v>
      </c>
    </row>
    <row r="78" spans="1:9" x14ac:dyDescent="0.3">
      <c r="A78" s="1" t="s">
        <v>107</v>
      </c>
      <c r="B78" s="1" t="s">
        <v>22</v>
      </c>
      <c r="C78" s="2">
        <v>43289</v>
      </c>
      <c r="D78" s="1" t="s">
        <v>32</v>
      </c>
      <c r="E78" s="1">
        <v>11</v>
      </c>
      <c r="F78" s="1">
        <v>150</v>
      </c>
      <c r="G78" s="1">
        <v>1650</v>
      </c>
      <c r="H78" s="1">
        <v>0.11</v>
      </c>
      <c r="I78" s="1" t="s">
        <v>30</v>
      </c>
    </row>
    <row r="79" spans="1:9" x14ac:dyDescent="0.3">
      <c r="A79" s="1" t="s">
        <v>108</v>
      </c>
      <c r="B79" s="1" t="s">
        <v>22</v>
      </c>
      <c r="C79" s="2">
        <v>43289</v>
      </c>
      <c r="D79" s="1" t="s">
        <v>32</v>
      </c>
      <c r="E79" s="1">
        <v>9</v>
      </c>
      <c r="F79" s="1">
        <v>150</v>
      </c>
      <c r="G79" s="1">
        <v>1350</v>
      </c>
      <c r="H79" s="1">
        <v>0.02</v>
      </c>
      <c r="I79" s="1" t="s">
        <v>33</v>
      </c>
    </row>
    <row r="80" spans="1:9" x14ac:dyDescent="0.3">
      <c r="A80" s="1" t="s">
        <v>109</v>
      </c>
      <c r="B80" s="1" t="s">
        <v>28</v>
      </c>
      <c r="C80" s="2">
        <v>43289</v>
      </c>
      <c r="D80" s="1" t="s">
        <v>29</v>
      </c>
      <c r="E80" s="1">
        <v>11</v>
      </c>
      <c r="F80" s="1">
        <v>16</v>
      </c>
      <c r="G80" s="1">
        <v>176</v>
      </c>
      <c r="H80" s="1">
        <v>0.12</v>
      </c>
      <c r="I80" s="1" t="s">
        <v>35</v>
      </c>
    </row>
    <row r="81" spans="1:9" x14ac:dyDescent="0.3">
      <c r="A81" s="1" t="s">
        <v>110</v>
      </c>
      <c r="B81" s="1" t="s">
        <v>22</v>
      </c>
      <c r="C81" s="2">
        <v>43289</v>
      </c>
      <c r="D81" s="1" t="s">
        <v>14</v>
      </c>
      <c r="E81" s="1">
        <v>13</v>
      </c>
      <c r="F81" s="1">
        <v>40</v>
      </c>
      <c r="G81" s="1">
        <v>520</v>
      </c>
      <c r="H81" s="1">
        <v>0.02</v>
      </c>
      <c r="I81" s="1" t="s">
        <v>37</v>
      </c>
    </row>
    <row r="82" spans="1:9" x14ac:dyDescent="0.3">
      <c r="A82" s="1" t="s">
        <v>111</v>
      </c>
      <c r="B82" s="1" t="s">
        <v>22</v>
      </c>
      <c r="C82" s="2">
        <v>43289</v>
      </c>
      <c r="D82" s="1" t="s">
        <v>14</v>
      </c>
      <c r="E82" s="1">
        <v>4</v>
      </c>
      <c r="F82" s="1">
        <v>40</v>
      </c>
      <c r="G82" s="1">
        <v>160</v>
      </c>
      <c r="H82" s="1">
        <v>0.1</v>
      </c>
      <c r="I82" s="1" t="s">
        <v>39</v>
      </c>
    </row>
    <row r="83" spans="1:9" x14ac:dyDescent="0.3">
      <c r="A83" s="1" t="s">
        <v>112</v>
      </c>
      <c r="B83" s="1" t="s">
        <v>9</v>
      </c>
      <c r="C83" s="2">
        <v>43289</v>
      </c>
      <c r="D83" s="1" t="s">
        <v>17</v>
      </c>
      <c r="E83" s="1">
        <v>3</v>
      </c>
      <c r="F83" s="1">
        <v>230</v>
      </c>
      <c r="G83" s="1">
        <v>690</v>
      </c>
      <c r="H83" s="1">
        <v>0.11</v>
      </c>
      <c r="I83" s="1" t="s">
        <v>41</v>
      </c>
    </row>
    <row r="84" spans="1:9" x14ac:dyDescent="0.3">
      <c r="A84" s="1" t="s">
        <v>113</v>
      </c>
      <c r="B84" s="1" t="s">
        <v>22</v>
      </c>
      <c r="C84" s="2">
        <v>43289</v>
      </c>
      <c r="D84" s="1" t="s">
        <v>10</v>
      </c>
      <c r="E84" s="1">
        <v>6</v>
      </c>
      <c r="F84" s="1">
        <v>80</v>
      </c>
      <c r="G84" s="1">
        <v>480</v>
      </c>
      <c r="H84" s="1">
        <v>0.09</v>
      </c>
      <c r="I84" s="1" t="s">
        <v>11</v>
      </c>
    </row>
    <row r="85" spans="1:9" x14ac:dyDescent="0.3">
      <c r="A85" s="1" t="s">
        <v>114</v>
      </c>
      <c r="B85" s="1" t="s">
        <v>9</v>
      </c>
      <c r="C85" s="2">
        <v>43289</v>
      </c>
      <c r="D85" s="1" t="s">
        <v>32</v>
      </c>
      <c r="E85" s="1">
        <v>9</v>
      </c>
      <c r="F85" s="1">
        <v>150</v>
      </c>
      <c r="G85" s="1">
        <v>1350</v>
      </c>
      <c r="H85" s="1">
        <v>0.1</v>
      </c>
      <c r="I85" s="1" t="s">
        <v>15</v>
      </c>
    </row>
    <row r="86" spans="1:9" x14ac:dyDescent="0.3">
      <c r="A86" s="1" t="s">
        <v>115</v>
      </c>
      <c r="B86" s="1" t="s">
        <v>13</v>
      </c>
      <c r="C86" s="2">
        <v>43289</v>
      </c>
      <c r="D86" s="1" t="s">
        <v>10</v>
      </c>
      <c r="E86" s="1">
        <v>14</v>
      </c>
      <c r="F86" s="1">
        <v>80</v>
      </c>
      <c r="G86" s="1">
        <v>1120</v>
      </c>
      <c r="H86" s="1">
        <v>0.11</v>
      </c>
      <c r="I86" s="1" t="s">
        <v>18</v>
      </c>
    </row>
    <row r="87" spans="1:9" x14ac:dyDescent="0.3">
      <c r="A87" s="1" t="s">
        <v>116</v>
      </c>
      <c r="B87" s="1" t="s">
        <v>9</v>
      </c>
      <c r="C87" s="2">
        <v>43289</v>
      </c>
      <c r="D87" s="1" t="s">
        <v>10</v>
      </c>
      <c r="E87" s="1">
        <v>18</v>
      </c>
      <c r="F87" s="1">
        <v>80</v>
      </c>
      <c r="G87" s="1">
        <v>1440</v>
      </c>
      <c r="H87" s="1">
        <v>0.02</v>
      </c>
      <c r="I87" s="1" t="s">
        <v>46</v>
      </c>
    </row>
    <row r="88" spans="1:9" x14ac:dyDescent="0.3">
      <c r="A88" s="1" t="s">
        <v>117</v>
      </c>
      <c r="B88" s="1" t="s">
        <v>9</v>
      </c>
      <c r="C88" s="2">
        <v>43289</v>
      </c>
      <c r="D88" s="1" t="s">
        <v>14</v>
      </c>
      <c r="E88" s="1">
        <v>20</v>
      </c>
      <c r="F88" s="1">
        <v>40</v>
      </c>
      <c r="G88" s="1">
        <v>800</v>
      </c>
      <c r="H88" s="1">
        <v>0.04</v>
      </c>
      <c r="I88" s="1" t="s">
        <v>23</v>
      </c>
    </row>
    <row r="89" spans="1:9" x14ac:dyDescent="0.3">
      <c r="A89" s="1" t="s">
        <v>118</v>
      </c>
      <c r="B89" s="1" t="s">
        <v>22</v>
      </c>
      <c r="C89" s="2">
        <v>43290</v>
      </c>
      <c r="D89" s="1" t="s">
        <v>29</v>
      </c>
      <c r="E89" s="1">
        <v>8</v>
      </c>
      <c r="F89" s="1">
        <v>16</v>
      </c>
      <c r="G89" s="1">
        <v>128</v>
      </c>
      <c r="H89" s="1">
        <v>0.03</v>
      </c>
      <c r="I89" s="1" t="s">
        <v>26</v>
      </c>
    </row>
    <row r="90" spans="1:9" x14ac:dyDescent="0.3">
      <c r="A90" s="1" t="s">
        <v>119</v>
      </c>
      <c r="B90" s="1" t="s">
        <v>13</v>
      </c>
      <c r="C90" s="2">
        <v>43290</v>
      </c>
      <c r="D90" s="1" t="s">
        <v>10</v>
      </c>
      <c r="E90" s="1">
        <v>14</v>
      </c>
      <c r="F90" s="1">
        <v>80</v>
      </c>
      <c r="G90" s="1">
        <v>1120</v>
      </c>
      <c r="H90" s="1">
        <v>0.06</v>
      </c>
      <c r="I90" s="1" t="s">
        <v>30</v>
      </c>
    </row>
    <row r="91" spans="1:9" x14ac:dyDescent="0.3">
      <c r="A91" s="1" t="s">
        <v>120</v>
      </c>
      <c r="B91" s="1" t="s">
        <v>9</v>
      </c>
      <c r="C91" s="2">
        <v>43290</v>
      </c>
      <c r="D91" s="1" t="s">
        <v>32</v>
      </c>
      <c r="E91" s="1">
        <v>20</v>
      </c>
      <c r="F91" s="1">
        <v>150</v>
      </c>
      <c r="G91" s="1">
        <v>3000</v>
      </c>
      <c r="H91" s="1">
        <v>0.01</v>
      </c>
      <c r="I91" s="1" t="s">
        <v>33</v>
      </c>
    </row>
    <row r="92" spans="1:9" x14ac:dyDescent="0.3">
      <c r="A92" s="1" t="s">
        <v>121</v>
      </c>
      <c r="B92" s="1" t="s">
        <v>25</v>
      </c>
      <c r="C92" s="2">
        <v>43290</v>
      </c>
      <c r="D92" s="1" t="s">
        <v>14</v>
      </c>
      <c r="E92" s="1">
        <v>15</v>
      </c>
      <c r="F92" s="1">
        <v>40</v>
      </c>
      <c r="G92" s="1">
        <v>600</v>
      </c>
      <c r="H92" s="1">
        <v>0.03</v>
      </c>
      <c r="I92" s="1" t="s">
        <v>35</v>
      </c>
    </row>
    <row r="93" spans="1:9" x14ac:dyDescent="0.3">
      <c r="A93" s="1" t="s">
        <v>122</v>
      </c>
      <c r="B93" s="1" t="s">
        <v>13</v>
      </c>
      <c r="C93" s="2">
        <v>43290</v>
      </c>
      <c r="D93" s="1" t="s">
        <v>14</v>
      </c>
      <c r="E93" s="1">
        <v>18</v>
      </c>
      <c r="F93" s="1">
        <v>40</v>
      </c>
      <c r="G93" s="1">
        <v>720</v>
      </c>
      <c r="H93" s="1">
        <v>0.08</v>
      </c>
      <c r="I93" s="1" t="s">
        <v>37</v>
      </c>
    </row>
    <row r="94" spans="1:9" x14ac:dyDescent="0.3">
      <c r="A94" s="1" t="s">
        <v>123</v>
      </c>
      <c r="B94" s="1" t="s">
        <v>28</v>
      </c>
      <c r="C94" s="2">
        <v>43290</v>
      </c>
      <c r="D94" s="1" t="s">
        <v>14</v>
      </c>
      <c r="E94" s="1">
        <v>11</v>
      </c>
      <c r="F94" s="1">
        <v>40</v>
      </c>
      <c r="G94" s="1">
        <v>440</v>
      </c>
      <c r="H94" s="1">
        <v>0.05</v>
      </c>
      <c r="I94" s="1" t="s">
        <v>39</v>
      </c>
    </row>
    <row r="95" spans="1:9" x14ac:dyDescent="0.3">
      <c r="A95" s="1" t="s">
        <v>124</v>
      </c>
      <c r="B95" s="1" t="s">
        <v>28</v>
      </c>
      <c r="C95" s="2">
        <v>43291</v>
      </c>
      <c r="D95" s="1" t="s">
        <v>14</v>
      </c>
      <c r="E95" s="1">
        <v>23</v>
      </c>
      <c r="F95" s="1">
        <v>40</v>
      </c>
      <c r="G95" s="1">
        <v>920</v>
      </c>
      <c r="H95" s="1">
        <v>0.04</v>
      </c>
      <c r="I95" s="1" t="s">
        <v>41</v>
      </c>
    </row>
    <row r="96" spans="1:9" x14ac:dyDescent="0.3">
      <c r="A96" s="1" t="s">
        <v>125</v>
      </c>
      <c r="B96" s="1" t="s">
        <v>28</v>
      </c>
      <c r="C96" s="2">
        <v>43291</v>
      </c>
      <c r="D96" s="1" t="s">
        <v>29</v>
      </c>
      <c r="E96" s="1">
        <v>17</v>
      </c>
      <c r="F96" s="1">
        <v>16</v>
      </c>
      <c r="G96" s="1">
        <v>272</v>
      </c>
      <c r="H96" s="1">
        <v>0.1</v>
      </c>
      <c r="I96" s="1" t="s">
        <v>11</v>
      </c>
    </row>
    <row r="97" spans="1:9" x14ac:dyDescent="0.3">
      <c r="A97" s="1" t="s">
        <v>126</v>
      </c>
      <c r="B97" s="1" t="s">
        <v>13</v>
      </c>
      <c r="C97" s="2">
        <v>43291</v>
      </c>
      <c r="D97" s="1" t="s">
        <v>29</v>
      </c>
      <c r="E97" s="1">
        <v>4</v>
      </c>
      <c r="F97" s="1">
        <v>16</v>
      </c>
      <c r="G97" s="1">
        <v>64</v>
      </c>
      <c r="H97" s="1">
        <v>7.0000000000000007E-2</v>
      </c>
      <c r="I97" s="1" t="s">
        <v>15</v>
      </c>
    </row>
    <row r="98" spans="1:9" x14ac:dyDescent="0.3">
      <c r="A98" s="1" t="s">
        <v>127</v>
      </c>
      <c r="B98" s="1" t="s">
        <v>22</v>
      </c>
      <c r="C98" s="2">
        <v>43291</v>
      </c>
      <c r="D98" s="1" t="s">
        <v>10</v>
      </c>
      <c r="E98" s="1">
        <v>23</v>
      </c>
      <c r="F98" s="1">
        <v>80</v>
      </c>
      <c r="G98" s="1">
        <v>1840</v>
      </c>
      <c r="H98" s="1">
        <v>0.05</v>
      </c>
      <c r="I98" s="1" t="s">
        <v>18</v>
      </c>
    </row>
    <row r="99" spans="1:9" x14ac:dyDescent="0.3">
      <c r="A99" s="1" t="s">
        <v>128</v>
      </c>
      <c r="B99" s="1" t="s">
        <v>22</v>
      </c>
      <c r="C99" s="2">
        <v>43291</v>
      </c>
      <c r="D99" s="1" t="s">
        <v>17</v>
      </c>
      <c r="E99" s="1">
        <v>10</v>
      </c>
      <c r="F99" s="1">
        <v>230</v>
      </c>
      <c r="G99" s="1">
        <v>2300</v>
      </c>
      <c r="H99" s="1">
        <v>0.02</v>
      </c>
      <c r="I99" s="1" t="s">
        <v>46</v>
      </c>
    </row>
    <row r="100" spans="1:9" x14ac:dyDescent="0.3">
      <c r="A100" s="1" t="s">
        <v>129</v>
      </c>
      <c r="B100" s="1" t="s">
        <v>22</v>
      </c>
      <c r="C100" s="2">
        <v>43291</v>
      </c>
      <c r="D100" s="1" t="s">
        <v>29</v>
      </c>
      <c r="E100" s="1">
        <v>14</v>
      </c>
      <c r="F100" s="1">
        <v>16</v>
      </c>
      <c r="G100" s="1">
        <v>224</v>
      </c>
      <c r="H100" s="1">
        <v>0.01</v>
      </c>
      <c r="I100" s="1" t="s">
        <v>23</v>
      </c>
    </row>
    <row r="101" spans="1:9" x14ac:dyDescent="0.3">
      <c r="A101" s="1" t="s">
        <v>130</v>
      </c>
      <c r="B101" s="1" t="s">
        <v>13</v>
      </c>
      <c r="C101" s="2">
        <v>43291</v>
      </c>
      <c r="D101" s="1" t="s">
        <v>14</v>
      </c>
      <c r="E101" s="1">
        <v>19</v>
      </c>
      <c r="F101" s="1">
        <v>40</v>
      </c>
      <c r="G101" s="1">
        <v>760</v>
      </c>
      <c r="H101" s="1">
        <v>0.1</v>
      </c>
      <c r="I101" s="1" t="s">
        <v>26</v>
      </c>
    </row>
    <row r="102" spans="1:9" x14ac:dyDescent="0.3">
      <c r="A102" s="1" t="s">
        <v>131</v>
      </c>
      <c r="B102" s="1" t="s">
        <v>28</v>
      </c>
      <c r="C102" s="2">
        <v>43291</v>
      </c>
      <c r="D102" s="1" t="s">
        <v>10</v>
      </c>
      <c r="E102" s="1">
        <v>22</v>
      </c>
      <c r="F102" s="1">
        <v>80</v>
      </c>
      <c r="G102" s="1">
        <v>1760</v>
      </c>
      <c r="H102" s="1">
        <v>0.09</v>
      </c>
      <c r="I102" s="1" t="s">
        <v>30</v>
      </c>
    </row>
    <row r="103" spans="1:9" x14ac:dyDescent="0.3">
      <c r="A103" s="1" t="s">
        <v>132</v>
      </c>
      <c r="B103" s="1" t="s">
        <v>9</v>
      </c>
      <c r="C103" s="2">
        <v>43291</v>
      </c>
      <c r="D103" s="1" t="s">
        <v>29</v>
      </c>
      <c r="E103" s="1">
        <v>18</v>
      </c>
      <c r="F103" s="1">
        <v>16</v>
      </c>
      <c r="G103" s="1">
        <v>288</v>
      </c>
      <c r="H103" s="1">
        <v>0.05</v>
      </c>
      <c r="I103" s="1" t="s">
        <v>33</v>
      </c>
    </row>
    <row r="104" spans="1:9" x14ac:dyDescent="0.3">
      <c r="A104" s="1" t="s">
        <v>133</v>
      </c>
      <c r="B104" s="1" t="s">
        <v>9</v>
      </c>
      <c r="C104" s="2">
        <v>43291</v>
      </c>
      <c r="D104" s="1" t="s">
        <v>14</v>
      </c>
      <c r="E104" s="1">
        <v>18</v>
      </c>
      <c r="F104" s="1">
        <v>40</v>
      </c>
      <c r="G104" s="1">
        <v>720</v>
      </c>
      <c r="H104" s="1">
        <v>0.11</v>
      </c>
      <c r="I104" s="1" t="s">
        <v>35</v>
      </c>
    </row>
    <row r="105" spans="1:9" x14ac:dyDescent="0.3">
      <c r="A105" s="1" t="s">
        <v>134</v>
      </c>
      <c r="B105" s="1" t="s">
        <v>28</v>
      </c>
      <c r="C105" s="2">
        <v>43291</v>
      </c>
      <c r="D105" s="1" t="s">
        <v>14</v>
      </c>
      <c r="E105" s="1">
        <v>21</v>
      </c>
      <c r="F105" s="1">
        <v>40</v>
      </c>
      <c r="G105" s="1">
        <v>840</v>
      </c>
      <c r="H105" s="1">
        <v>0.01</v>
      </c>
      <c r="I105" s="1" t="s">
        <v>37</v>
      </c>
    </row>
    <row r="106" spans="1:9" x14ac:dyDescent="0.3">
      <c r="A106" s="1" t="s">
        <v>135</v>
      </c>
      <c r="B106" s="1" t="s">
        <v>9</v>
      </c>
      <c r="C106" s="2">
        <v>43291</v>
      </c>
      <c r="D106" s="1" t="s">
        <v>10</v>
      </c>
      <c r="E106" s="1">
        <v>6</v>
      </c>
      <c r="F106" s="1">
        <v>80</v>
      </c>
      <c r="G106" s="1">
        <v>480</v>
      </c>
      <c r="H106" s="1">
        <v>7.0000000000000007E-2</v>
      </c>
      <c r="I106" s="1" t="s">
        <v>39</v>
      </c>
    </row>
    <row r="107" spans="1:9" x14ac:dyDescent="0.3">
      <c r="A107" s="1" t="s">
        <v>136</v>
      </c>
      <c r="B107" s="1" t="s">
        <v>28</v>
      </c>
      <c r="C107" s="2">
        <v>43291</v>
      </c>
      <c r="D107" s="1" t="s">
        <v>32</v>
      </c>
      <c r="E107" s="1">
        <v>17</v>
      </c>
      <c r="F107" s="1">
        <v>150</v>
      </c>
      <c r="G107" s="1">
        <v>2550</v>
      </c>
      <c r="H107" s="1">
        <v>0.02</v>
      </c>
      <c r="I107" s="1" t="s">
        <v>41</v>
      </c>
    </row>
    <row r="108" spans="1:9" x14ac:dyDescent="0.3">
      <c r="A108" s="1" t="s">
        <v>137</v>
      </c>
      <c r="B108" s="1" t="s">
        <v>22</v>
      </c>
      <c r="C108" s="2">
        <v>43291</v>
      </c>
      <c r="D108" s="1" t="s">
        <v>10</v>
      </c>
      <c r="E108" s="1">
        <v>16</v>
      </c>
      <c r="F108" s="1">
        <v>80</v>
      </c>
      <c r="G108" s="1">
        <v>1280</v>
      </c>
      <c r="H108" s="1">
        <v>0.02</v>
      </c>
      <c r="I108" s="1" t="s">
        <v>11</v>
      </c>
    </row>
    <row r="109" spans="1:9" x14ac:dyDescent="0.3">
      <c r="A109" s="1" t="s">
        <v>138</v>
      </c>
      <c r="B109" s="1" t="s">
        <v>13</v>
      </c>
      <c r="C109" s="2">
        <v>43291</v>
      </c>
      <c r="D109" s="1" t="s">
        <v>14</v>
      </c>
      <c r="E109" s="1">
        <v>15</v>
      </c>
      <c r="F109" s="1">
        <v>40</v>
      </c>
      <c r="G109" s="1">
        <v>600</v>
      </c>
      <c r="H109" s="1">
        <v>0.04</v>
      </c>
      <c r="I109" s="1" t="s">
        <v>15</v>
      </c>
    </row>
    <row r="110" spans="1:9" x14ac:dyDescent="0.3">
      <c r="A110" s="1" t="s">
        <v>139</v>
      </c>
      <c r="B110" s="1" t="s">
        <v>25</v>
      </c>
      <c r="C110" s="2">
        <v>43291</v>
      </c>
      <c r="D110" s="1" t="s">
        <v>17</v>
      </c>
      <c r="E110" s="1">
        <v>2</v>
      </c>
      <c r="F110" s="1">
        <v>230</v>
      </c>
      <c r="G110" s="1">
        <v>460</v>
      </c>
      <c r="H110" s="1">
        <v>0.08</v>
      </c>
      <c r="I110" s="1" t="s">
        <v>18</v>
      </c>
    </row>
    <row r="111" spans="1:9" x14ac:dyDescent="0.3">
      <c r="A111" s="1" t="s">
        <v>140</v>
      </c>
      <c r="B111" s="1" t="s">
        <v>28</v>
      </c>
      <c r="C111" s="2">
        <v>43291</v>
      </c>
      <c r="D111" s="1" t="s">
        <v>14</v>
      </c>
      <c r="E111" s="1">
        <v>3</v>
      </c>
      <c r="F111" s="1">
        <v>40</v>
      </c>
      <c r="G111" s="1">
        <v>120</v>
      </c>
      <c r="H111" s="1">
        <v>0.03</v>
      </c>
      <c r="I111" s="1" t="s">
        <v>46</v>
      </c>
    </row>
    <row r="112" spans="1:9" x14ac:dyDescent="0.3">
      <c r="A112" s="1" t="s">
        <v>141</v>
      </c>
      <c r="B112" s="1" t="s">
        <v>28</v>
      </c>
      <c r="C112" s="2">
        <v>43291</v>
      </c>
      <c r="D112" s="1" t="s">
        <v>17</v>
      </c>
      <c r="E112" s="1">
        <v>21</v>
      </c>
      <c r="F112" s="1">
        <v>230</v>
      </c>
      <c r="G112" s="1">
        <v>4830</v>
      </c>
      <c r="H112" s="1">
        <v>0.05</v>
      </c>
      <c r="I112" s="1" t="s">
        <v>23</v>
      </c>
    </row>
    <row r="113" spans="1:9" x14ac:dyDescent="0.3">
      <c r="A113" s="1" t="s">
        <v>142</v>
      </c>
      <c r="B113" s="1" t="s">
        <v>9</v>
      </c>
      <c r="C113" s="2">
        <v>43291</v>
      </c>
      <c r="D113" s="1" t="s">
        <v>32</v>
      </c>
      <c r="E113" s="1">
        <v>11</v>
      </c>
      <c r="F113" s="1">
        <v>150</v>
      </c>
      <c r="G113" s="1">
        <v>1650</v>
      </c>
      <c r="H113" s="1">
        <v>0.05</v>
      </c>
      <c r="I113" s="1" t="s">
        <v>26</v>
      </c>
    </row>
    <row r="114" spans="1:9" x14ac:dyDescent="0.3">
      <c r="A114" s="1" t="s">
        <v>143</v>
      </c>
      <c r="B114" s="1" t="s">
        <v>13</v>
      </c>
      <c r="C114" s="2">
        <v>43292</v>
      </c>
      <c r="D114" s="1" t="s">
        <v>32</v>
      </c>
      <c r="E114" s="1">
        <v>15</v>
      </c>
      <c r="F114" s="1">
        <v>150</v>
      </c>
      <c r="G114" s="1">
        <v>2250</v>
      </c>
      <c r="H114" s="1">
        <v>0.02</v>
      </c>
      <c r="I114" s="1" t="s">
        <v>30</v>
      </c>
    </row>
    <row r="115" spans="1:9" x14ac:dyDescent="0.3">
      <c r="A115" s="1" t="s">
        <v>144</v>
      </c>
      <c r="B115" s="1" t="s">
        <v>25</v>
      </c>
      <c r="C115" s="2">
        <v>43292</v>
      </c>
      <c r="D115" s="1" t="s">
        <v>10</v>
      </c>
      <c r="E115" s="1">
        <v>16</v>
      </c>
      <c r="F115" s="1">
        <v>80</v>
      </c>
      <c r="G115" s="1">
        <v>1280</v>
      </c>
      <c r="H115" s="1">
        <v>0.1</v>
      </c>
      <c r="I115" s="1" t="s">
        <v>33</v>
      </c>
    </row>
    <row r="116" spans="1:9" x14ac:dyDescent="0.3">
      <c r="A116" s="1" t="s">
        <v>145</v>
      </c>
      <c r="B116" s="1" t="s">
        <v>28</v>
      </c>
      <c r="C116" s="2">
        <v>43292</v>
      </c>
      <c r="D116" s="1" t="s">
        <v>17</v>
      </c>
      <c r="E116" s="1">
        <v>17</v>
      </c>
      <c r="F116" s="1">
        <v>230</v>
      </c>
      <c r="G116" s="1">
        <v>3910</v>
      </c>
      <c r="H116" s="1">
        <v>0.11</v>
      </c>
      <c r="I116" s="1" t="s">
        <v>35</v>
      </c>
    </row>
    <row r="117" spans="1:9" x14ac:dyDescent="0.3">
      <c r="A117" s="1" t="s">
        <v>146</v>
      </c>
      <c r="B117" s="1" t="s">
        <v>28</v>
      </c>
      <c r="C117" s="2">
        <v>43292</v>
      </c>
      <c r="D117" s="1" t="s">
        <v>14</v>
      </c>
      <c r="E117" s="1">
        <v>16</v>
      </c>
      <c r="F117" s="1">
        <v>40</v>
      </c>
      <c r="G117" s="1">
        <v>640</v>
      </c>
      <c r="H117" s="1">
        <v>0.11</v>
      </c>
      <c r="I117" s="1" t="s">
        <v>37</v>
      </c>
    </row>
    <row r="118" spans="1:9" x14ac:dyDescent="0.3">
      <c r="A118" s="1" t="s">
        <v>147</v>
      </c>
      <c r="B118" s="1" t="s">
        <v>25</v>
      </c>
      <c r="C118" s="2">
        <v>43292</v>
      </c>
      <c r="D118" s="1" t="s">
        <v>10</v>
      </c>
      <c r="E118" s="1">
        <v>2</v>
      </c>
      <c r="F118" s="1">
        <v>80</v>
      </c>
      <c r="G118" s="1">
        <v>160</v>
      </c>
      <c r="H118" s="1">
        <v>0.08</v>
      </c>
      <c r="I118" s="1" t="s">
        <v>39</v>
      </c>
    </row>
    <row r="119" spans="1:9" x14ac:dyDescent="0.3">
      <c r="A119" s="1" t="s">
        <v>148</v>
      </c>
      <c r="B119" s="1" t="s">
        <v>13</v>
      </c>
      <c r="C119" s="2">
        <v>43292</v>
      </c>
      <c r="D119" s="1" t="s">
        <v>32</v>
      </c>
      <c r="E119" s="1">
        <v>22</v>
      </c>
      <c r="F119" s="1">
        <v>150</v>
      </c>
      <c r="G119" s="1">
        <v>3300</v>
      </c>
      <c r="H119" s="1">
        <v>0.02</v>
      </c>
      <c r="I119" s="1" t="s">
        <v>41</v>
      </c>
    </row>
    <row r="120" spans="1:9" x14ac:dyDescent="0.3">
      <c r="A120" s="1" t="s">
        <v>149</v>
      </c>
      <c r="B120" s="1" t="s">
        <v>9</v>
      </c>
      <c r="C120" s="2">
        <v>43292</v>
      </c>
      <c r="D120" s="1" t="s">
        <v>10</v>
      </c>
      <c r="E120" s="1">
        <v>16</v>
      </c>
      <c r="F120" s="1">
        <v>80</v>
      </c>
      <c r="G120" s="1">
        <v>1280</v>
      </c>
      <c r="H120" s="1">
        <v>0.03</v>
      </c>
      <c r="I120" s="1" t="s">
        <v>11</v>
      </c>
    </row>
    <row r="121" spans="1:9" x14ac:dyDescent="0.3">
      <c r="A121" s="1" t="s">
        <v>150</v>
      </c>
      <c r="B121" s="1" t="s">
        <v>9</v>
      </c>
      <c r="C121" s="2">
        <v>43293</v>
      </c>
      <c r="D121" s="1" t="s">
        <v>29</v>
      </c>
      <c r="E121" s="1">
        <v>20</v>
      </c>
      <c r="F121" s="1">
        <v>16</v>
      </c>
      <c r="G121" s="1">
        <v>320</v>
      </c>
      <c r="H121" s="1">
        <v>0.11</v>
      </c>
      <c r="I121" s="1" t="s">
        <v>15</v>
      </c>
    </row>
    <row r="122" spans="1:9" x14ac:dyDescent="0.3">
      <c r="A122" s="1" t="s">
        <v>151</v>
      </c>
      <c r="B122" s="1" t="s">
        <v>28</v>
      </c>
      <c r="C122" s="2">
        <v>43293</v>
      </c>
      <c r="D122" s="1" t="s">
        <v>10</v>
      </c>
      <c r="E122" s="1">
        <v>9</v>
      </c>
      <c r="F122" s="1">
        <v>80</v>
      </c>
      <c r="G122" s="1">
        <v>720</v>
      </c>
      <c r="H122" s="1">
        <v>7.0000000000000007E-2</v>
      </c>
      <c r="I122" s="1" t="s">
        <v>18</v>
      </c>
    </row>
    <row r="123" spans="1:9" x14ac:dyDescent="0.3">
      <c r="A123" s="1" t="s">
        <v>152</v>
      </c>
      <c r="B123" s="1" t="s">
        <v>28</v>
      </c>
      <c r="C123" s="2">
        <v>43293</v>
      </c>
      <c r="D123" s="1" t="s">
        <v>17</v>
      </c>
      <c r="E123" s="1">
        <v>5</v>
      </c>
      <c r="F123" s="1">
        <v>230</v>
      </c>
      <c r="G123" s="1">
        <v>1150</v>
      </c>
      <c r="H123" s="1">
        <v>0.12</v>
      </c>
      <c r="I123" s="1" t="s">
        <v>46</v>
      </c>
    </row>
    <row r="124" spans="1:9" x14ac:dyDescent="0.3">
      <c r="A124" s="1" t="s">
        <v>153</v>
      </c>
      <c r="B124" s="1" t="s">
        <v>9</v>
      </c>
      <c r="C124" s="2">
        <v>43293</v>
      </c>
      <c r="D124" s="1" t="s">
        <v>29</v>
      </c>
      <c r="E124" s="1">
        <v>20</v>
      </c>
      <c r="F124" s="1">
        <v>16</v>
      </c>
      <c r="G124" s="1">
        <v>320</v>
      </c>
      <c r="H124" s="1">
        <v>0.01</v>
      </c>
      <c r="I124" s="1" t="s">
        <v>23</v>
      </c>
    </row>
    <row r="125" spans="1:9" x14ac:dyDescent="0.3">
      <c r="A125" s="1" t="s">
        <v>154</v>
      </c>
      <c r="B125" s="1" t="s">
        <v>9</v>
      </c>
      <c r="C125" s="2">
        <v>43293</v>
      </c>
      <c r="D125" s="1" t="s">
        <v>29</v>
      </c>
      <c r="E125" s="1">
        <v>16</v>
      </c>
      <c r="F125" s="1">
        <v>16</v>
      </c>
      <c r="G125" s="1">
        <v>256</v>
      </c>
      <c r="H125" s="1">
        <v>0.03</v>
      </c>
      <c r="I125" s="1" t="s">
        <v>26</v>
      </c>
    </row>
    <row r="126" spans="1:9" x14ac:dyDescent="0.3">
      <c r="A126" s="1" t="s">
        <v>155</v>
      </c>
      <c r="B126" s="1" t="s">
        <v>25</v>
      </c>
      <c r="C126" s="2">
        <v>43293</v>
      </c>
      <c r="D126" s="1" t="s">
        <v>32</v>
      </c>
      <c r="E126" s="1">
        <v>15</v>
      </c>
      <c r="F126" s="1">
        <v>150</v>
      </c>
      <c r="G126" s="1">
        <v>2250</v>
      </c>
      <c r="H126" s="1">
        <v>0.05</v>
      </c>
      <c r="I126" s="1" t="s">
        <v>30</v>
      </c>
    </row>
    <row r="127" spans="1:9" x14ac:dyDescent="0.3">
      <c r="A127" s="1" t="s">
        <v>156</v>
      </c>
      <c r="B127" s="1" t="s">
        <v>13</v>
      </c>
      <c r="C127" s="2">
        <v>43293</v>
      </c>
      <c r="D127" s="1" t="s">
        <v>17</v>
      </c>
      <c r="E127" s="1">
        <v>19</v>
      </c>
      <c r="F127" s="1">
        <v>230</v>
      </c>
      <c r="G127" s="1">
        <v>4370</v>
      </c>
      <c r="H127" s="1">
        <v>0.11</v>
      </c>
      <c r="I127" s="1" t="s">
        <v>33</v>
      </c>
    </row>
    <row r="128" spans="1:9" x14ac:dyDescent="0.3">
      <c r="A128" s="1" t="s">
        <v>157</v>
      </c>
      <c r="B128" s="1" t="s">
        <v>22</v>
      </c>
      <c r="C128" s="2">
        <v>43294</v>
      </c>
      <c r="D128" s="1" t="s">
        <v>32</v>
      </c>
      <c r="E128" s="1">
        <v>2</v>
      </c>
      <c r="F128" s="1">
        <v>150</v>
      </c>
      <c r="G128" s="1">
        <v>300</v>
      </c>
      <c r="H128" s="1">
        <v>0.02</v>
      </c>
      <c r="I128" s="1" t="s">
        <v>35</v>
      </c>
    </row>
    <row r="129" spans="1:9" x14ac:dyDescent="0.3">
      <c r="A129" s="1" t="s">
        <v>158</v>
      </c>
      <c r="B129" s="1" t="s">
        <v>28</v>
      </c>
      <c r="C129" s="2">
        <v>43294</v>
      </c>
      <c r="D129" s="1" t="s">
        <v>10</v>
      </c>
      <c r="E129" s="1">
        <v>16</v>
      </c>
      <c r="F129" s="1">
        <v>80</v>
      </c>
      <c r="G129" s="1">
        <v>1280</v>
      </c>
      <c r="H129" s="1">
        <v>0.05</v>
      </c>
      <c r="I129" s="1" t="s">
        <v>37</v>
      </c>
    </row>
    <row r="130" spans="1:9" x14ac:dyDescent="0.3">
      <c r="A130" s="1" t="s">
        <v>159</v>
      </c>
      <c r="B130" s="1" t="s">
        <v>22</v>
      </c>
      <c r="C130" s="2">
        <v>43294</v>
      </c>
      <c r="D130" s="1" t="s">
        <v>14</v>
      </c>
      <c r="E130" s="1">
        <v>2</v>
      </c>
      <c r="F130" s="1">
        <v>40</v>
      </c>
      <c r="G130" s="1">
        <v>80</v>
      </c>
      <c r="H130" s="1">
        <v>0.03</v>
      </c>
      <c r="I130" s="1" t="s">
        <v>39</v>
      </c>
    </row>
    <row r="131" spans="1:9" x14ac:dyDescent="0.3">
      <c r="A131" s="1" t="s">
        <v>160</v>
      </c>
      <c r="B131" s="1" t="s">
        <v>13</v>
      </c>
      <c r="C131" s="2">
        <v>43294</v>
      </c>
      <c r="D131" s="1" t="s">
        <v>10</v>
      </c>
      <c r="E131" s="1">
        <v>5</v>
      </c>
      <c r="F131" s="1">
        <v>80</v>
      </c>
      <c r="G131" s="1">
        <v>400</v>
      </c>
      <c r="H131" s="1">
        <v>0.04</v>
      </c>
      <c r="I131" s="1" t="s">
        <v>41</v>
      </c>
    </row>
    <row r="132" spans="1:9" x14ac:dyDescent="0.3">
      <c r="A132" s="1" t="s">
        <v>161</v>
      </c>
      <c r="B132" s="1" t="s">
        <v>25</v>
      </c>
      <c r="C132" s="2">
        <v>43294</v>
      </c>
      <c r="D132" s="1" t="s">
        <v>17</v>
      </c>
      <c r="E132" s="1">
        <v>17</v>
      </c>
      <c r="F132" s="1">
        <v>230</v>
      </c>
      <c r="G132" s="1">
        <v>3910</v>
      </c>
      <c r="H132" s="1">
        <v>0.12</v>
      </c>
      <c r="I132" s="1" t="s">
        <v>11</v>
      </c>
    </row>
    <row r="133" spans="1:9" x14ac:dyDescent="0.3">
      <c r="A133" s="1" t="s">
        <v>162</v>
      </c>
      <c r="B133" s="1" t="s">
        <v>9</v>
      </c>
      <c r="C133" s="2">
        <v>43294</v>
      </c>
      <c r="D133" s="1" t="s">
        <v>10</v>
      </c>
      <c r="E133" s="1">
        <v>8</v>
      </c>
      <c r="F133" s="1">
        <v>80</v>
      </c>
      <c r="G133" s="1">
        <v>640</v>
      </c>
      <c r="H133" s="1">
        <v>0.08</v>
      </c>
      <c r="I133" s="1" t="s">
        <v>15</v>
      </c>
    </row>
    <row r="134" spans="1:9" x14ac:dyDescent="0.3">
      <c r="A134" s="1" t="s">
        <v>163</v>
      </c>
      <c r="B134" s="1" t="s">
        <v>13</v>
      </c>
      <c r="C134" s="2">
        <v>43294</v>
      </c>
      <c r="D134" s="1" t="s">
        <v>14</v>
      </c>
      <c r="E134" s="1">
        <v>4</v>
      </c>
      <c r="F134" s="1">
        <v>40</v>
      </c>
      <c r="G134" s="1">
        <v>160</v>
      </c>
      <c r="H134" s="1">
        <v>0.06</v>
      </c>
      <c r="I134" s="1" t="s">
        <v>18</v>
      </c>
    </row>
    <row r="135" spans="1:9" x14ac:dyDescent="0.3">
      <c r="A135" s="1" t="s">
        <v>164</v>
      </c>
      <c r="B135" s="1" t="s">
        <v>22</v>
      </c>
      <c r="C135" s="2">
        <v>43294</v>
      </c>
      <c r="D135" s="1" t="s">
        <v>29</v>
      </c>
      <c r="E135" s="1">
        <v>17</v>
      </c>
      <c r="F135" s="1">
        <v>16</v>
      </c>
      <c r="G135" s="1">
        <v>272</v>
      </c>
      <c r="H135" s="1">
        <v>0.05</v>
      </c>
      <c r="I135" s="1" t="s">
        <v>46</v>
      </c>
    </row>
    <row r="136" spans="1:9" x14ac:dyDescent="0.3">
      <c r="A136" s="1" t="s">
        <v>165</v>
      </c>
      <c r="B136" s="1" t="s">
        <v>25</v>
      </c>
      <c r="C136" s="2">
        <v>43294</v>
      </c>
      <c r="D136" s="1" t="s">
        <v>17</v>
      </c>
      <c r="E136" s="1">
        <v>8</v>
      </c>
      <c r="F136" s="1">
        <v>230</v>
      </c>
      <c r="G136" s="1">
        <v>1840</v>
      </c>
      <c r="H136" s="1">
        <v>0.01</v>
      </c>
      <c r="I136" s="1" t="s">
        <v>23</v>
      </c>
    </row>
    <row r="137" spans="1:9" x14ac:dyDescent="0.3">
      <c r="A137" s="1" t="s">
        <v>166</v>
      </c>
      <c r="B137" s="1" t="s">
        <v>28</v>
      </c>
      <c r="C137" s="2">
        <v>43294</v>
      </c>
      <c r="D137" s="1" t="s">
        <v>29</v>
      </c>
      <c r="E137" s="1">
        <v>19</v>
      </c>
      <c r="F137" s="1">
        <v>16</v>
      </c>
      <c r="G137" s="1">
        <v>304</v>
      </c>
      <c r="H137" s="1">
        <v>0.02</v>
      </c>
      <c r="I137" s="1" t="s">
        <v>26</v>
      </c>
    </row>
    <row r="138" spans="1:9" x14ac:dyDescent="0.3">
      <c r="A138" s="1" t="s">
        <v>167</v>
      </c>
      <c r="B138" s="1" t="s">
        <v>9</v>
      </c>
      <c r="C138" s="2">
        <v>43295</v>
      </c>
      <c r="D138" s="1" t="s">
        <v>14</v>
      </c>
      <c r="E138" s="1">
        <v>18</v>
      </c>
      <c r="F138" s="1">
        <v>40</v>
      </c>
      <c r="G138" s="1">
        <v>720</v>
      </c>
      <c r="H138" s="1">
        <v>0.06</v>
      </c>
      <c r="I138" s="1" t="s">
        <v>30</v>
      </c>
    </row>
    <row r="139" spans="1:9" x14ac:dyDescent="0.3">
      <c r="A139" s="1" t="s">
        <v>168</v>
      </c>
      <c r="B139" s="1" t="s">
        <v>28</v>
      </c>
      <c r="C139" s="2">
        <v>43295</v>
      </c>
      <c r="D139" s="1" t="s">
        <v>32</v>
      </c>
      <c r="E139" s="1">
        <v>23</v>
      </c>
      <c r="F139" s="1">
        <v>150</v>
      </c>
      <c r="G139" s="1">
        <v>3450</v>
      </c>
      <c r="H139" s="1">
        <v>0.08</v>
      </c>
      <c r="I139" s="1" t="s">
        <v>33</v>
      </c>
    </row>
    <row r="140" spans="1:9" x14ac:dyDescent="0.3">
      <c r="A140" s="1" t="s">
        <v>169</v>
      </c>
      <c r="B140" s="1" t="s">
        <v>9</v>
      </c>
      <c r="C140" s="2">
        <v>43295</v>
      </c>
      <c r="D140" s="1" t="s">
        <v>17</v>
      </c>
      <c r="E140" s="1">
        <v>5</v>
      </c>
      <c r="F140" s="1">
        <v>230</v>
      </c>
      <c r="G140" s="1">
        <v>1150</v>
      </c>
      <c r="H140" s="1">
        <v>0.1</v>
      </c>
      <c r="I140" s="1" t="s">
        <v>35</v>
      </c>
    </row>
    <row r="141" spans="1:9" x14ac:dyDescent="0.3">
      <c r="A141" s="1" t="s">
        <v>170</v>
      </c>
      <c r="B141" s="1" t="s">
        <v>25</v>
      </c>
      <c r="C141" s="2">
        <v>43295</v>
      </c>
      <c r="D141" s="1" t="s">
        <v>10</v>
      </c>
      <c r="E141" s="1">
        <v>21</v>
      </c>
      <c r="F141" s="1">
        <v>80</v>
      </c>
      <c r="G141" s="1">
        <v>1680</v>
      </c>
      <c r="H141" s="1">
        <v>0.02</v>
      </c>
      <c r="I141" s="1" t="s">
        <v>37</v>
      </c>
    </row>
    <row r="142" spans="1:9" x14ac:dyDescent="0.3">
      <c r="A142" s="1" t="s">
        <v>171</v>
      </c>
      <c r="B142" s="1" t="s">
        <v>22</v>
      </c>
      <c r="C142" s="2">
        <v>43295</v>
      </c>
      <c r="D142" s="1" t="s">
        <v>29</v>
      </c>
      <c r="E142" s="1">
        <v>6</v>
      </c>
      <c r="F142" s="1">
        <v>16</v>
      </c>
      <c r="G142" s="1">
        <v>96</v>
      </c>
      <c r="H142" s="1">
        <v>7.0000000000000007E-2</v>
      </c>
      <c r="I142" s="1" t="s">
        <v>11</v>
      </c>
    </row>
    <row r="143" spans="1:9" x14ac:dyDescent="0.3">
      <c r="A143" s="1" t="s">
        <v>172</v>
      </c>
      <c r="B143" s="1" t="s">
        <v>9</v>
      </c>
      <c r="C143" s="2">
        <v>43295</v>
      </c>
      <c r="D143" s="1" t="s">
        <v>14</v>
      </c>
      <c r="E143" s="1">
        <v>9</v>
      </c>
      <c r="F143" s="1">
        <v>40</v>
      </c>
      <c r="G143" s="1">
        <v>360</v>
      </c>
      <c r="H143" s="1">
        <v>0.01</v>
      </c>
      <c r="I143" s="1" t="s">
        <v>15</v>
      </c>
    </row>
    <row r="144" spans="1:9" x14ac:dyDescent="0.3">
      <c r="A144" s="1" t="s">
        <v>173</v>
      </c>
      <c r="B144" s="1" t="s">
        <v>13</v>
      </c>
      <c r="C144" s="2">
        <v>43295</v>
      </c>
      <c r="D144" s="1" t="s">
        <v>17</v>
      </c>
      <c r="E144" s="1">
        <v>9</v>
      </c>
      <c r="F144" s="1">
        <v>230</v>
      </c>
      <c r="G144" s="1">
        <v>2070</v>
      </c>
      <c r="H144" s="1">
        <v>0.03</v>
      </c>
      <c r="I144" s="1" t="s">
        <v>18</v>
      </c>
    </row>
    <row r="145" spans="1:9" x14ac:dyDescent="0.3">
      <c r="A145" s="1" t="s">
        <v>174</v>
      </c>
      <c r="B145" s="1" t="s">
        <v>22</v>
      </c>
      <c r="C145" s="2">
        <v>43295</v>
      </c>
      <c r="D145" s="1" t="s">
        <v>17</v>
      </c>
      <c r="E145" s="1">
        <v>5</v>
      </c>
      <c r="F145" s="1">
        <v>230</v>
      </c>
      <c r="G145" s="1">
        <v>1150</v>
      </c>
      <c r="H145" s="1">
        <v>0.1</v>
      </c>
      <c r="I145" s="1" t="s">
        <v>46</v>
      </c>
    </row>
    <row r="146" spans="1:9" x14ac:dyDescent="0.3">
      <c r="A146" s="1" t="s">
        <v>175</v>
      </c>
      <c r="B146" s="1" t="s">
        <v>25</v>
      </c>
      <c r="C146" s="2">
        <v>43295</v>
      </c>
      <c r="D146" s="1" t="s">
        <v>14</v>
      </c>
      <c r="E146" s="1">
        <v>7</v>
      </c>
      <c r="F146" s="1">
        <v>40</v>
      </c>
      <c r="G146" s="1">
        <v>280</v>
      </c>
      <c r="H146" s="1">
        <v>0.11</v>
      </c>
      <c r="I146" s="1" t="s">
        <v>23</v>
      </c>
    </row>
    <row r="147" spans="1:9" x14ac:dyDescent="0.3">
      <c r="A147" s="1" t="s">
        <v>176</v>
      </c>
      <c r="B147" s="1" t="s">
        <v>9</v>
      </c>
      <c r="C147" s="2">
        <v>43295</v>
      </c>
      <c r="D147" s="1" t="s">
        <v>17</v>
      </c>
      <c r="E147" s="1">
        <v>20</v>
      </c>
      <c r="F147" s="1">
        <v>230</v>
      </c>
      <c r="G147" s="1">
        <v>4600</v>
      </c>
      <c r="H147" s="1">
        <v>0.04</v>
      </c>
      <c r="I147" s="1" t="s">
        <v>26</v>
      </c>
    </row>
    <row r="148" spans="1:9" x14ac:dyDescent="0.3">
      <c r="A148" s="1" t="s">
        <v>177</v>
      </c>
      <c r="B148" s="1" t="s">
        <v>9</v>
      </c>
      <c r="C148" s="2">
        <v>43295</v>
      </c>
      <c r="D148" s="1" t="s">
        <v>32</v>
      </c>
      <c r="E148" s="1">
        <v>22</v>
      </c>
      <c r="F148" s="1">
        <v>150</v>
      </c>
      <c r="G148" s="1">
        <v>3300</v>
      </c>
      <c r="H148" s="1">
        <v>7.0000000000000007E-2</v>
      </c>
      <c r="I148" s="1" t="s">
        <v>30</v>
      </c>
    </row>
    <row r="149" spans="1:9" x14ac:dyDescent="0.3">
      <c r="A149" s="1" t="s">
        <v>178</v>
      </c>
      <c r="B149" s="1" t="s">
        <v>22</v>
      </c>
      <c r="C149" s="2">
        <v>43296</v>
      </c>
      <c r="D149" s="1" t="s">
        <v>17</v>
      </c>
      <c r="E149" s="1">
        <v>6</v>
      </c>
      <c r="F149" s="1">
        <v>230</v>
      </c>
      <c r="G149" s="1">
        <v>1380</v>
      </c>
      <c r="H149" s="1">
        <v>0.05</v>
      </c>
      <c r="I149" s="1" t="s">
        <v>33</v>
      </c>
    </row>
    <row r="150" spans="1:9" x14ac:dyDescent="0.3">
      <c r="A150" s="1" t="s">
        <v>179</v>
      </c>
      <c r="B150" s="1" t="s">
        <v>22</v>
      </c>
      <c r="C150" s="2">
        <v>43296</v>
      </c>
      <c r="D150" s="1" t="s">
        <v>17</v>
      </c>
      <c r="E150" s="1">
        <v>15</v>
      </c>
      <c r="F150" s="1">
        <v>230</v>
      </c>
      <c r="G150" s="1">
        <v>3450</v>
      </c>
      <c r="H150" s="1">
        <v>0.11</v>
      </c>
      <c r="I150" s="1" t="s">
        <v>35</v>
      </c>
    </row>
    <row r="151" spans="1:9" x14ac:dyDescent="0.3">
      <c r="A151" s="1" t="s">
        <v>180</v>
      </c>
      <c r="B151" s="1" t="s">
        <v>13</v>
      </c>
      <c r="C151" s="2">
        <v>43296</v>
      </c>
      <c r="D151" s="1" t="s">
        <v>14</v>
      </c>
      <c r="E151" s="1">
        <v>8</v>
      </c>
      <c r="F151" s="1">
        <v>40</v>
      </c>
      <c r="G151" s="1">
        <v>320</v>
      </c>
      <c r="H151" s="1">
        <v>0.09</v>
      </c>
      <c r="I151" s="1" t="s">
        <v>37</v>
      </c>
    </row>
    <row r="152" spans="1:9" x14ac:dyDescent="0.3">
      <c r="A152" s="1" t="s">
        <v>181</v>
      </c>
      <c r="B152" s="1" t="s">
        <v>9</v>
      </c>
      <c r="C152" s="2">
        <v>43296</v>
      </c>
      <c r="D152" s="1" t="s">
        <v>14</v>
      </c>
      <c r="E152" s="1">
        <v>5</v>
      </c>
      <c r="F152" s="1">
        <v>40</v>
      </c>
      <c r="G152" s="1">
        <v>200</v>
      </c>
      <c r="H152" s="1">
        <v>0.06</v>
      </c>
      <c r="I152" s="1" t="s">
        <v>39</v>
      </c>
    </row>
    <row r="153" spans="1:9" x14ac:dyDescent="0.3">
      <c r="A153" s="1" t="s">
        <v>182</v>
      </c>
      <c r="B153" s="1" t="s">
        <v>28</v>
      </c>
      <c r="C153" s="2">
        <v>43296</v>
      </c>
      <c r="D153" s="1" t="s">
        <v>10</v>
      </c>
      <c r="E153" s="1">
        <v>6</v>
      </c>
      <c r="F153" s="1">
        <v>80</v>
      </c>
      <c r="G153" s="1">
        <v>480</v>
      </c>
      <c r="H153" s="1">
        <v>0.09</v>
      </c>
      <c r="I153" s="1" t="s">
        <v>41</v>
      </c>
    </row>
    <row r="154" spans="1:9" x14ac:dyDescent="0.3">
      <c r="A154" s="1" t="s">
        <v>183</v>
      </c>
      <c r="B154" s="1" t="s">
        <v>25</v>
      </c>
      <c r="C154" s="2">
        <v>43296</v>
      </c>
      <c r="D154" s="1" t="s">
        <v>14</v>
      </c>
      <c r="E154" s="1">
        <v>22</v>
      </c>
      <c r="F154" s="1">
        <v>40</v>
      </c>
      <c r="G154" s="1">
        <v>880</v>
      </c>
      <c r="H154" s="1">
        <v>0.01</v>
      </c>
      <c r="I154" s="1" t="s">
        <v>11</v>
      </c>
    </row>
    <row r="155" spans="1:9" x14ac:dyDescent="0.3">
      <c r="A155" s="1" t="s">
        <v>184</v>
      </c>
      <c r="B155" s="1" t="s">
        <v>9</v>
      </c>
      <c r="C155" s="2">
        <v>43296</v>
      </c>
      <c r="D155" s="1" t="s">
        <v>29</v>
      </c>
      <c r="E155" s="1">
        <v>7</v>
      </c>
      <c r="F155" s="1">
        <v>16</v>
      </c>
      <c r="G155" s="1">
        <v>112</v>
      </c>
      <c r="H155" s="1">
        <v>0.08</v>
      </c>
      <c r="I155" s="1" t="s">
        <v>15</v>
      </c>
    </row>
    <row r="156" spans="1:9" x14ac:dyDescent="0.3">
      <c r="A156" s="1" t="s">
        <v>185</v>
      </c>
      <c r="B156" s="1" t="s">
        <v>22</v>
      </c>
      <c r="C156" s="2">
        <v>43296</v>
      </c>
      <c r="D156" s="1" t="s">
        <v>32</v>
      </c>
      <c r="E156" s="1">
        <v>22</v>
      </c>
      <c r="F156" s="1">
        <v>150</v>
      </c>
      <c r="G156" s="1">
        <v>3300</v>
      </c>
      <c r="H156" s="1">
        <v>0.04</v>
      </c>
      <c r="I156" s="1" t="s">
        <v>18</v>
      </c>
    </row>
    <row r="157" spans="1:9" x14ac:dyDescent="0.3">
      <c r="A157" s="1" t="s">
        <v>186</v>
      </c>
      <c r="B157" s="1" t="s">
        <v>25</v>
      </c>
      <c r="C157" s="2">
        <v>43296</v>
      </c>
      <c r="D157" s="1" t="s">
        <v>29</v>
      </c>
      <c r="E157" s="1">
        <v>15</v>
      </c>
      <c r="F157" s="1">
        <v>16</v>
      </c>
      <c r="G157" s="1">
        <v>240</v>
      </c>
      <c r="H157" s="1">
        <v>0.12</v>
      </c>
      <c r="I157" s="1" t="s">
        <v>46</v>
      </c>
    </row>
    <row r="158" spans="1:9" x14ac:dyDescent="0.3">
      <c r="A158" s="1" t="s">
        <v>187</v>
      </c>
      <c r="B158" s="1" t="s">
        <v>22</v>
      </c>
      <c r="C158" s="2">
        <v>43296</v>
      </c>
      <c r="D158" s="1" t="s">
        <v>10</v>
      </c>
      <c r="E158" s="1">
        <v>20</v>
      </c>
      <c r="F158" s="1">
        <v>80</v>
      </c>
      <c r="G158" s="1">
        <v>1600</v>
      </c>
      <c r="H158" s="1">
        <v>7.0000000000000007E-2</v>
      </c>
      <c r="I158" s="1" t="s">
        <v>23</v>
      </c>
    </row>
    <row r="159" spans="1:9" x14ac:dyDescent="0.3">
      <c r="A159" s="1" t="s">
        <v>188</v>
      </c>
      <c r="B159" s="1" t="s">
        <v>22</v>
      </c>
      <c r="C159" s="2">
        <v>43296</v>
      </c>
      <c r="D159" s="1" t="s">
        <v>10</v>
      </c>
      <c r="E159" s="1">
        <v>7</v>
      </c>
      <c r="F159" s="1">
        <v>80</v>
      </c>
      <c r="G159" s="1">
        <v>560</v>
      </c>
      <c r="H159" s="1">
        <v>0.05</v>
      </c>
      <c r="I159" s="1" t="s">
        <v>26</v>
      </c>
    </row>
    <row r="160" spans="1:9" x14ac:dyDescent="0.3">
      <c r="A160" s="1" t="s">
        <v>189</v>
      </c>
      <c r="B160" s="1" t="s">
        <v>13</v>
      </c>
      <c r="C160" s="2">
        <v>43296</v>
      </c>
      <c r="D160" s="1" t="s">
        <v>10</v>
      </c>
      <c r="E160" s="1">
        <v>10</v>
      </c>
      <c r="F160" s="1">
        <v>80</v>
      </c>
      <c r="G160" s="1">
        <v>800</v>
      </c>
      <c r="H160" s="1">
        <v>0.11</v>
      </c>
      <c r="I160" s="1" t="s">
        <v>30</v>
      </c>
    </row>
    <row r="161" spans="1:9" x14ac:dyDescent="0.3">
      <c r="A161" s="1" t="s">
        <v>190</v>
      </c>
      <c r="B161" s="1" t="s">
        <v>13</v>
      </c>
      <c r="C161" s="2">
        <v>43296</v>
      </c>
      <c r="D161" s="1" t="s">
        <v>10</v>
      </c>
      <c r="E161" s="1">
        <v>2</v>
      </c>
      <c r="F161" s="1">
        <v>80</v>
      </c>
      <c r="G161" s="1">
        <v>160</v>
      </c>
      <c r="H161" s="1">
        <v>7.0000000000000007E-2</v>
      </c>
      <c r="I161" s="1" t="s">
        <v>33</v>
      </c>
    </row>
    <row r="162" spans="1:9" x14ac:dyDescent="0.3">
      <c r="A162" s="1" t="s">
        <v>191</v>
      </c>
      <c r="B162" s="1" t="s">
        <v>28</v>
      </c>
      <c r="C162" s="2">
        <v>43296</v>
      </c>
      <c r="D162" s="1" t="s">
        <v>29</v>
      </c>
      <c r="E162" s="1">
        <v>23</v>
      </c>
      <c r="F162" s="1">
        <v>16</v>
      </c>
      <c r="G162" s="1">
        <v>368</v>
      </c>
      <c r="H162" s="1">
        <v>0.01</v>
      </c>
      <c r="I162" s="1" t="s">
        <v>35</v>
      </c>
    </row>
    <row r="163" spans="1:9" x14ac:dyDescent="0.3">
      <c r="A163" s="1" t="s">
        <v>192</v>
      </c>
      <c r="B163" s="1" t="s">
        <v>13</v>
      </c>
      <c r="C163" s="2">
        <v>43296</v>
      </c>
      <c r="D163" s="1" t="s">
        <v>17</v>
      </c>
      <c r="E163" s="1">
        <v>12</v>
      </c>
      <c r="F163" s="1">
        <v>230</v>
      </c>
      <c r="G163" s="1">
        <v>2760</v>
      </c>
      <c r="H163" s="1">
        <v>0.03</v>
      </c>
      <c r="I163" s="1" t="s">
        <v>37</v>
      </c>
    </row>
    <row r="164" spans="1:9" x14ac:dyDescent="0.3">
      <c r="A164" s="1" t="s">
        <v>193</v>
      </c>
      <c r="B164" s="1" t="s">
        <v>9</v>
      </c>
      <c r="C164" s="2">
        <v>43297</v>
      </c>
      <c r="D164" s="1" t="s">
        <v>17</v>
      </c>
      <c r="E164" s="1">
        <v>7</v>
      </c>
      <c r="F164" s="1">
        <v>230</v>
      </c>
      <c r="G164" s="1">
        <v>1610</v>
      </c>
      <c r="H164" s="1">
        <v>0.08</v>
      </c>
      <c r="I164" s="1" t="s">
        <v>39</v>
      </c>
    </row>
    <row r="165" spans="1:9" x14ac:dyDescent="0.3">
      <c r="A165" s="1" t="s">
        <v>194</v>
      </c>
      <c r="B165" s="1" t="s">
        <v>25</v>
      </c>
      <c r="C165" s="2">
        <v>43297</v>
      </c>
      <c r="D165" s="1" t="s">
        <v>14</v>
      </c>
      <c r="E165" s="1">
        <v>11</v>
      </c>
      <c r="F165" s="1">
        <v>40</v>
      </c>
      <c r="G165" s="1">
        <v>440</v>
      </c>
      <c r="H165" s="1">
        <v>0.06</v>
      </c>
      <c r="I165" s="1" t="s">
        <v>41</v>
      </c>
    </row>
    <row r="166" spans="1:9" x14ac:dyDescent="0.3">
      <c r="A166" s="1" t="s">
        <v>195</v>
      </c>
      <c r="B166" s="1" t="s">
        <v>13</v>
      </c>
      <c r="C166" s="2">
        <v>43297</v>
      </c>
      <c r="D166" s="1" t="s">
        <v>17</v>
      </c>
      <c r="E166" s="1">
        <v>7</v>
      </c>
      <c r="F166" s="1">
        <v>230</v>
      </c>
      <c r="G166" s="1">
        <v>1610</v>
      </c>
      <c r="H166" s="1">
        <v>0.08</v>
      </c>
      <c r="I166" s="1" t="s">
        <v>11</v>
      </c>
    </row>
    <row r="167" spans="1:9" x14ac:dyDescent="0.3">
      <c r="A167" s="1" t="s">
        <v>196</v>
      </c>
      <c r="B167" s="1" t="s">
        <v>9</v>
      </c>
      <c r="C167" s="2">
        <v>43297</v>
      </c>
      <c r="D167" s="1" t="s">
        <v>10</v>
      </c>
      <c r="E167" s="1">
        <v>8</v>
      </c>
      <c r="F167" s="1">
        <v>80</v>
      </c>
      <c r="G167" s="1">
        <v>640</v>
      </c>
      <c r="H167" s="1">
        <v>0.09</v>
      </c>
      <c r="I167" s="1" t="s">
        <v>15</v>
      </c>
    </row>
    <row r="168" spans="1:9" x14ac:dyDescent="0.3">
      <c r="A168" s="1" t="s">
        <v>197</v>
      </c>
      <c r="B168" s="1" t="s">
        <v>25</v>
      </c>
      <c r="C168" s="2">
        <v>43297</v>
      </c>
      <c r="D168" s="1" t="s">
        <v>10</v>
      </c>
      <c r="E168" s="1">
        <v>16</v>
      </c>
      <c r="F168" s="1">
        <v>80</v>
      </c>
      <c r="G168" s="1">
        <v>1280</v>
      </c>
      <c r="H168" s="1">
        <v>7.0000000000000007E-2</v>
      </c>
      <c r="I168" s="1" t="s">
        <v>18</v>
      </c>
    </row>
    <row r="169" spans="1:9" x14ac:dyDescent="0.3">
      <c r="A169" s="1" t="s">
        <v>198</v>
      </c>
      <c r="B169" s="1" t="s">
        <v>22</v>
      </c>
      <c r="C169" s="2">
        <v>43297</v>
      </c>
      <c r="D169" s="1" t="s">
        <v>10</v>
      </c>
      <c r="E169" s="1">
        <v>16</v>
      </c>
      <c r="F169" s="1">
        <v>80</v>
      </c>
      <c r="G169" s="1">
        <v>1280</v>
      </c>
      <c r="H169" s="1">
        <v>0.04</v>
      </c>
      <c r="I169" s="1" t="s">
        <v>46</v>
      </c>
    </row>
    <row r="170" spans="1:9" x14ac:dyDescent="0.3">
      <c r="A170" s="1" t="s">
        <v>199</v>
      </c>
      <c r="B170" s="1" t="s">
        <v>22</v>
      </c>
      <c r="C170" s="2">
        <v>43297</v>
      </c>
      <c r="D170" s="1" t="s">
        <v>29</v>
      </c>
      <c r="E170" s="1">
        <v>9</v>
      </c>
      <c r="F170" s="1">
        <v>16</v>
      </c>
      <c r="G170" s="1">
        <v>144</v>
      </c>
      <c r="H170" s="1">
        <v>0.05</v>
      </c>
      <c r="I170" s="1" t="s">
        <v>23</v>
      </c>
    </row>
    <row r="171" spans="1:9" x14ac:dyDescent="0.3">
      <c r="A171" s="1" t="s">
        <v>200</v>
      </c>
      <c r="B171" s="1" t="s">
        <v>28</v>
      </c>
      <c r="C171" s="2">
        <v>43297</v>
      </c>
      <c r="D171" s="1" t="s">
        <v>32</v>
      </c>
      <c r="E171" s="1">
        <v>11</v>
      </c>
      <c r="F171" s="1">
        <v>150</v>
      </c>
      <c r="G171" s="1">
        <v>1650</v>
      </c>
      <c r="H171" s="1">
        <v>0.09</v>
      </c>
      <c r="I171" s="1" t="s">
        <v>26</v>
      </c>
    </row>
    <row r="172" spans="1:9" x14ac:dyDescent="0.3">
      <c r="A172" s="1" t="s">
        <v>201</v>
      </c>
      <c r="B172" s="1" t="s">
        <v>9</v>
      </c>
      <c r="C172" s="2">
        <v>43297</v>
      </c>
      <c r="D172" s="1" t="s">
        <v>29</v>
      </c>
      <c r="E172" s="1">
        <v>4</v>
      </c>
      <c r="F172" s="1">
        <v>16</v>
      </c>
      <c r="G172" s="1">
        <v>64</v>
      </c>
      <c r="H172" s="1">
        <v>0.12</v>
      </c>
      <c r="I172" s="1" t="s">
        <v>30</v>
      </c>
    </row>
    <row r="173" spans="1:9" x14ac:dyDescent="0.3">
      <c r="A173" s="1" t="s">
        <v>202</v>
      </c>
      <c r="B173" s="1" t="s">
        <v>25</v>
      </c>
      <c r="C173" s="2">
        <v>43297</v>
      </c>
      <c r="D173" s="1" t="s">
        <v>14</v>
      </c>
      <c r="E173" s="1">
        <v>15</v>
      </c>
      <c r="F173" s="1">
        <v>40</v>
      </c>
      <c r="G173" s="1">
        <v>600</v>
      </c>
      <c r="H173" s="1">
        <v>0.03</v>
      </c>
      <c r="I173" s="1" t="s">
        <v>33</v>
      </c>
    </row>
    <row r="174" spans="1:9" x14ac:dyDescent="0.3">
      <c r="A174" s="1" t="s">
        <v>203</v>
      </c>
      <c r="B174" s="1" t="s">
        <v>28</v>
      </c>
      <c r="C174" s="2">
        <v>43297</v>
      </c>
      <c r="D174" s="1" t="s">
        <v>14</v>
      </c>
      <c r="E174" s="1">
        <v>20</v>
      </c>
      <c r="F174" s="1">
        <v>40</v>
      </c>
      <c r="G174" s="1">
        <v>800</v>
      </c>
      <c r="H174" s="1">
        <v>0.03</v>
      </c>
      <c r="I174" s="1" t="s">
        <v>35</v>
      </c>
    </row>
    <row r="175" spans="1:9" x14ac:dyDescent="0.3">
      <c r="A175" s="1" t="s">
        <v>204</v>
      </c>
      <c r="B175" s="1" t="s">
        <v>22</v>
      </c>
      <c r="C175" s="2">
        <v>43298</v>
      </c>
      <c r="D175" s="1" t="s">
        <v>32</v>
      </c>
      <c r="E175" s="1">
        <v>9</v>
      </c>
      <c r="F175" s="1">
        <v>150</v>
      </c>
      <c r="G175" s="1">
        <v>1350</v>
      </c>
      <c r="H175" s="1">
        <v>0.06</v>
      </c>
      <c r="I175" s="1" t="s">
        <v>37</v>
      </c>
    </row>
    <row r="176" spans="1:9" x14ac:dyDescent="0.3">
      <c r="A176" s="1" t="s">
        <v>205</v>
      </c>
      <c r="B176" s="1" t="s">
        <v>13</v>
      </c>
      <c r="C176" s="2">
        <v>43298</v>
      </c>
      <c r="D176" s="1" t="s">
        <v>14</v>
      </c>
      <c r="E176" s="1">
        <v>23</v>
      </c>
      <c r="F176" s="1">
        <v>40</v>
      </c>
      <c r="G176" s="1">
        <v>920</v>
      </c>
      <c r="H176" s="1">
        <v>0.06</v>
      </c>
      <c r="I176" s="1" t="s">
        <v>39</v>
      </c>
    </row>
    <row r="177" spans="1:9" x14ac:dyDescent="0.3">
      <c r="A177" s="1" t="s">
        <v>206</v>
      </c>
      <c r="B177" s="1" t="s">
        <v>28</v>
      </c>
      <c r="C177" s="2">
        <v>43298</v>
      </c>
      <c r="D177" s="1" t="s">
        <v>10</v>
      </c>
      <c r="E177" s="1">
        <v>13</v>
      </c>
      <c r="F177" s="1">
        <v>80</v>
      </c>
      <c r="G177" s="1">
        <v>1040</v>
      </c>
      <c r="H177" s="1">
        <v>0.05</v>
      </c>
      <c r="I177" s="1" t="s">
        <v>41</v>
      </c>
    </row>
    <row r="178" spans="1:9" x14ac:dyDescent="0.3">
      <c r="A178" s="1" t="s">
        <v>207</v>
      </c>
      <c r="B178" s="1" t="s">
        <v>9</v>
      </c>
      <c r="C178" s="2">
        <v>43298</v>
      </c>
      <c r="D178" s="1" t="s">
        <v>29</v>
      </c>
      <c r="E178" s="1">
        <v>22</v>
      </c>
      <c r="F178" s="1">
        <v>16</v>
      </c>
      <c r="G178" s="1">
        <v>352</v>
      </c>
      <c r="H178" s="1">
        <v>0.01</v>
      </c>
      <c r="I178" s="1" t="s">
        <v>11</v>
      </c>
    </row>
    <row r="179" spans="1:9" x14ac:dyDescent="0.3">
      <c r="A179" s="1" t="s">
        <v>208</v>
      </c>
      <c r="B179" s="1" t="s">
        <v>9</v>
      </c>
      <c r="C179" s="2">
        <v>43298</v>
      </c>
      <c r="D179" s="1" t="s">
        <v>14</v>
      </c>
      <c r="E179" s="1">
        <v>19</v>
      </c>
      <c r="F179" s="1">
        <v>40</v>
      </c>
      <c r="G179" s="1">
        <v>760</v>
      </c>
      <c r="H179" s="1">
        <v>0.04</v>
      </c>
      <c r="I179" s="1" t="s">
        <v>15</v>
      </c>
    </row>
    <row r="180" spans="1:9" x14ac:dyDescent="0.3">
      <c r="A180" s="1" t="s">
        <v>209</v>
      </c>
      <c r="B180" s="1" t="s">
        <v>25</v>
      </c>
      <c r="C180" s="2">
        <v>43298</v>
      </c>
      <c r="D180" s="1" t="s">
        <v>10</v>
      </c>
      <c r="E180" s="1">
        <v>4</v>
      </c>
      <c r="F180" s="1">
        <v>80</v>
      </c>
      <c r="G180" s="1">
        <v>320</v>
      </c>
      <c r="H180" s="1">
        <v>0.11</v>
      </c>
      <c r="I180" s="1" t="s">
        <v>18</v>
      </c>
    </row>
    <row r="181" spans="1:9" x14ac:dyDescent="0.3">
      <c r="A181" s="1" t="s">
        <v>210</v>
      </c>
      <c r="B181" s="1" t="s">
        <v>9</v>
      </c>
      <c r="C181" s="2">
        <v>43298</v>
      </c>
      <c r="D181" s="1" t="s">
        <v>29</v>
      </c>
      <c r="E181" s="1">
        <v>12</v>
      </c>
      <c r="F181" s="1">
        <v>16</v>
      </c>
      <c r="G181" s="1">
        <v>192</v>
      </c>
      <c r="H181" s="1">
        <v>0.11</v>
      </c>
      <c r="I181" s="1" t="s">
        <v>46</v>
      </c>
    </row>
    <row r="182" spans="1:9" x14ac:dyDescent="0.3">
      <c r="A182" s="1" t="s">
        <v>211</v>
      </c>
      <c r="B182" s="1" t="s">
        <v>13</v>
      </c>
      <c r="C182" s="2">
        <v>43298</v>
      </c>
      <c r="D182" s="1" t="s">
        <v>32</v>
      </c>
      <c r="E182" s="1">
        <v>16</v>
      </c>
      <c r="F182" s="1">
        <v>150</v>
      </c>
      <c r="G182" s="1">
        <v>2400</v>
      </c>
      <c r="H182" s="1">
        <v>0.08</v>
      </c>
      <c r="I182" s="1" t="s">
        <v>23</v>
      </c>
    </row>
    <row r="183" spans="1:9" x14ac:dyDescent="0.3">
      <c r="A183" s="1" t="s">
        <v>212</v>
      </c>
      <c r="B183" s="1" t="s">
        <v>9</v>
      </c>
      <c r="C183" s="2">
        <v>43298</v>
      </c>
      <c r="D183" s="1" t="s">
        <v>10</v>
      </c>
      <c r="E183" s="1">
        <v>7</v>
      </c>
      <c r="F183" s="1">
        <v>80</v>
      </c>
      <c r="G183" s="1">
        <v>560</v>
      </c>
      <c r="H183" s="1">
        <v>0.02</v>
      </c>
      <c r="I183" s="1" t="s">
        <v>26</v>
      </c>
    </row>
    <row r="184" spans="1:9" x14ac:dyDescent="0.3">
      <c r="A184" s="1" t="s">
        <v>213</v>
      </c>
      <c r="B184" s="1" t="s">
        <v>28</v>
      </c>
      <c r="C184" s="2">
        <v>43298</v>
      </c>
      <c r="D184" s="1" t="s">
        <v>14</v>
      </c>
      <c r="E184" s="1">
        <v>20</v>
      </c>
      <c r="F184" s="1">
        <v>40</v>
      </c>
      <c r="G184" s="1">
        <v>800</v>
      </c>
      <c r="H184" s="1">
        <v>7.0000000000000007E-2</v>
      </c>
      <c r="I184" s="1" t="s">
        <v>30</v>
      </c>
    </row>
    <row r="185" spans="1:9" x14ac:dyDescent="0.3">
      <c r="A185" s="1" t="s">
        <v>214</v>
      </c>
      <c r="B185" s="1" t="s">
        <v>13</v>
      </c>
      <c r="C185" s="2">
        <v>43298</v>
      </c>
      <c r="D185" s="1" t="s">
        <v>10</v>
      </c>
      <c r="E185" s="1">
        <v>15</v>
      </c>
      <c r="F185" s="1">
        <v>80</v>
      </c>
      <c r="G185" s="1">
        <v>1200</v>
      </c>
      <c r="H185" s="1">
        <v>0.12</v>
      </c>
      <c r="I185" s="1" t="s">
        <v>33</v>
      </c>
    </row>
    <row r="186" spans="1:9" x14ac:dyDescent="0.3">
      <c r="A186" s="1" t="s">
        <v>215</v>
      </c>
      <c r="B186" s="1" t="s">
        <v>9</v>
      </c>
      <c r="C186" s="2">
        <v>43298</v>
      </c>
      <c r="D186" s="1" t="s">
        <v>14</v>
      </c>
      <c r="E186" s="1">
        <v>5</v>
      </c>
      <c r="F186" s="1">
        <v>40</v>
      </c>
      <c r="G186" s="1">
        <v>200</v>
      </c>
      <c r="H186" s="1">
        <v>0.09</v>
      </c>
      <c r="I186" s="1" t="s">
        <v>35</v>
      </c>
    </row>
    <row r="187" spans="1:9" x14ac:dyDescent="0.3">
      <c r="A187" s="1" t="s">
        <v>216</v>
      </c>
      <c r="B187" s="1" t="s">
        <v>28</v>
      </c>
      <c r="C187" s="2">
        <v>43298</v>
      </c>
      <c r="D187" s="1" t="s">
        <v>29</v>
      </c>
      <c r="E187" s="1">
        <v>12</v>
      </c>
      <c r="F187" s="1">
        <v>16</v>
      </c>
      <c r="G187" s="1">
        <v>192</v>
      </c>
      <c r="H187" s="1">
        <v>0.04</v>
      </c>
      <c r="I187" s="1" t="s">
        <v>37</v>
      </c>
    </row>
    <row r="188" spans="1:9" x14ac:dyDescent="0.3">
      <c r="A188" s="1" t="s">
        <v>217</v>
      </c>
      <c r="B188" s="1" t="s">
        <v>25</v>
      </c>
      <c r="C188" s="2">
        <v>43299</v>
      </c>
      <c r="D188" s="1" t="s">
        <v>32</v>
      </c>
      <c r="E188" s="1">
        <v>3</v>
      </c>
      <c r="F188" s="1">
        <v>150</v>
      </c>
      <c r="G188" s="1">
        <v>450</v>
      </c>
      <c r="H188" s="1">
        <v>0.01</v>
      </c>
      <c r="I188" s="1" t="s">
        <v>39</v>
      </c>
    </row>
    <row r="189" spans="1:9" x14ac:dyDescent="0.3">
      <c r="A189" s="1" t="s">
        <v>218</v>
      </c>
      <c r="B189" s="1" t="s">
        <v>28</v>
      </c>
      <c r="C189" s="2">
        <v>43299</v>
      </c>
      <c r="D189" s="1" t="s">
        <v>14</v>
      </c>
      <c r="E189" s="1">
        <v>7</v>
      </c>
      <c r="F189" s="1">
        <v>40</v>
      </c>
      <c r="G189" s="1">
        <v>280</v>
      </c>
      <c r="H189" s="1">
        <v>0.12</v>
      </c>
      <c r="I189" s="1" t="s">
        <v>41</v>
      </c>
    </row>
    <row r="190" spans="1:9" x14ac:dyDescent="0.3">
      <c r="A190" s="1" t="s">
        <v>219</v>
      </c>
      <c r="B190" s="1" t="s">
        <v>13</v>
      </c>
      <c r="C190" s="2">
        <v>43299</v>
      </c>
      <c r="D190" s="1" t="s">
        <v>10</v>
      </c>
      <c r="E190" s="1">
        <v>2</v>
      </c>
      <c r="F190" s="1">
        <v>80</v>
      </c>
      <c r="G190" s="1">
        <v>160</v>
      </c>
      <c r="H190" s="1">
        <v>0.04</v>
      </c>
      <c r="I190" s="1" t="s">
        <v>11</v>
      </c>
    </row>
    <row r="191" spans="1:9" x14ac:dyDescent="0.3">
      <c r="A191" s="1" t="s">
        <v>220</v>
      </c>
      <c r="B191" s="1" t="s">
        <v>25</v>
      </c>
      <c r="C191" s="2">
        <v>43299</v>
      </c>
      <c r="D191" s="1" t="s">
        <v>14</v>
      </c>
      <c r="E191" s="1">
        <v>6</v>
      </c>
      <c r="F191" s="1">
        <v>40</v>
      </c>
      <c r="G191" s="1">
        <v>240</v>
      </c>
      <c r="H191" s="1">
        <v>7.0000000000000007E-2</v>
      </c>
      <c r="I191" s="1" t="s">
        <v>15</v>
      </c>
    </row>
    <row r="192" spans="1:9" x14ac:dyDescent="0.3">
      <c r="A192" s="1" t="s">
        <v>221</v>
      </c>
      <c r="B192" s="1" t="s">
        <v>22</v>
      </c>
      <c r="C192" s="2">
        <v>43299</v>
      </c>
      <c r="D192" s="1" t="s">
        <v>29</v>
      </c>
      <c r="E192" s="1">
        <v>6</v>
      </c>
      <c r="F192" s="1">
        <v>16</v>
      </c>
      <c r="G192" s="1">
        <v>96</v>
      </c>
      <c r="H192" s="1">
        <v>0.06</v>
      </c>
      <c r="I192" s="1" t="s">
        <v>18</v>
      </c>
    </row>
    <row r="193" spans="1:9" x14ac:dyDescent="0.3">
      <c r="A193" s="1" t="s">
        <v>222</v>
      </c>
      <c r="B193" s="1" t="s">
        <v>9</v>
      </c>
      <c r="C193" s="2">
        <v>43299</v>
      </c>
      <c r="D193" s="1" t="s">
        <v>29</v>
      </c>
      <c r="E193" s="1">
        <v>7</v>
      </c>
      <c r="F193" s="1">
        <v>16</v>
      </c>
      <c r="G193" s="1">
        <v>112</v>
      </c>
      <c r="H193" s="1">
        <v>0.02</v>
      </c>
      <c r="I193" s="1" t="s">
        <v>46</v>
      </c>
    </row>
    <row r="194" spans="1:9" x14ac:dyDescent="0.3">
      <c r="A194" s="1" t="s">
        <v>223</v>
      </c>
      <c r="B194" s="1" t="s">
        <v>13</v>
      </c>
      <c r="C194" s="2">
        <v>43299</v>
      </c>
      <c r="D194" s="1" t="s">
        <v>29</v>
      </c>
      <c r="E194" s="1">
        <v>20</v>
      </c>
      <c r="F194" s="1">
        <v>16</v>
      </c>
      <c r="G194" s="1">
        <v>320</v>
      </c>
      <c r="H194" s="1">
        <v>0.06</v>
      </c>
      <c r="I194" s="1" t="s">
        <v>23</v>
      </c>
    </row>
    <row r="195" spans="1:9" x14ac:dyDescent="0.3">
      <c r="A195" s="1" t="s">
        <v>224</v>
      </c>
      <c r="B195" s="1" t="s">
        <v>13</v>
      </c>
      <c r="C195" s="2">
        <v>43299</v>
      </c>
      <c r="D195" s="1" t="s">
        <v>29</v>
      </c>
      <c r="E195" s="1">
        <v>21</v>
      </c>
      <c r="F195" s="1">
        <v>16</v>
      </c>
      <c r="G195" s="1">
        <v>336</v>
      </c>
      <c r="H195" s="1">
        <v>0.02</v>
      </c>
      <c r="I195" s="1" t="s">
        <v>26</v>
      </c>
    </row>
    <row r="196" spans="1:9" x14ac:dyDescent="0.3">
      <c r="A196" s="1" t="s">
        <v>225</v>
      </c>
      <c r="B196" s="1" t="s">
        <v>25</v>
      </c>
      <c r="C196" s="2">
        <v>43299</v>
      </c>
      <c r="D196" s="1" t="s">
        <v>10</v>
      </c>
      <c r="E196" s="1">
        <v>21</v>
      </c>
      <c r="F196" s="1">
        <v>80</v>
      </c>
      <c r="G196" s="1">
        <v>1680</v>
      </c>
      <c r="H196" s="1">
        <v>0.05</v>
      </c>
      <c r="I196" s="1" t="s">
        <v>30</v>
      </c>
    </row>
    <row r="197" spans="1:9" x14ac:dyDescent="0.3">
      <c r="A197" s="1" t="s">
        <v>226</v>
      </c>
      <c r="B197" s="1" t="s">
        <v>25</v>
      </c>
      <c r="C197" s="2">
        <v>43299</v>
      </c>
      <c r="D197" s="1" t="s">
        <v>29</v>
      </c>
      <c r="E197" s="1">
        <v>10</v>
      </c>
      <c r="F197" s="1">
        <v>16</v>
      </c>
      <c r="G197" s="1">
        <v>160</v>
      </c>
      <c r="H197" s="1">
        <v>0.01</v>
      </c>
      <c r="I197" s="1" t="s">
        <v>33</v>
      </c>
    </row>
    <row r="198" spans="1:9" x14ac:dyDescent="0.3">
      <c r="A198" s="1" t="s">
        <v>227</v>
      </c>
      <c r="B198" s="1" t="s">
        <v>25</v>
      </c>
      <c r="C198" s="2">
        <v>43300</v>
      </c>
      <c r="D198" s="1" t="s">
        <v>17</v>
      </c>
      <c r="E198" s="1">
        <v>2</v>
      </c>
      <c r="F198" s="1">
        <v>230</v>
      </c>
      <c r="G198" s="1">
        <v>460</v>
      </c>
      <c r="H198" s="1">
        <v>0.09</v>
      </c>
      <c r="I198" s="1" t="s">
        <v>35</v>
      </c>
    </row>
    <row r="199" spans="1:9" x14ac:dyDescent="0.3">
      <c r="A199" s="1" t="s">
        <v>228</v>
      </c>
      <c r="B199" s="1" t="s">
        <v>9</v>
      </c>
      <c r="C199" s="2">
        <v>43300</v>
      </c>
      <c r="D199" s="1" t="s">
        <v>32</v>
      </c>
      <c r="E199" s="1">
        <v>20</v>
      </c>
      <c r="F199" s="1">
        <v>150</v>
      </c>
      <c r="G199" s="1">
        <v>3000</v>
      </c>
      <c r="H199" s="1">
        <v>0.03</v>
      </c>
      <c r="I199" s="1" t="s">
        <v>37</v>
      </c>
    </row>
    <row r="200" spans="1:9" x14ac:dyDescent="0.3">
      <c r="A200" s="1" t="s">
        <v>229</v>
      </c>
      <c r="B200" s="1" t="s">
        <v>9</v>
      </c>
      <c r="C200" s="2">
        <v>43300</v>
      </c>
      <c r="D200" s="1" t="s">
        <v>14</v>
      </c>
      <c r="E200" s="1">
        <v>23</v>
      </c>
      <c r="F200" s="1">
        <v>40</v>
      </c>
      <c r="G200" s="1">
        <v>920</v>
      </c>
      <c r="H200" s="1">
        <v>0.03</v>
      </c>
      <c r="I200" s="1" t="s">
        <v>39</v>
      </c>
    </row>
    <row r="201" spans="1:9" x14ac:dyDescent="0.3">
      <c r="A201" s="1" t="s">
        <v>230</v>
      </c>
      <c r="B201" s="1" t="s">
        <v>25</v>
      </c>
      <c r="C201" s="2">
        <v>43300</v>
      </c>
      <c r="D201" s="1" t="s">
        <v>10</v>
      </c>
      <c r="E201" s="1">
        <v>17</v>
      </c>
      <c r="F201" s="1">
        <v>80</v>
      </c>
      <c r="G201" s="1">
        <v>1360</v>
      </c>
      <c r="H201" s="1">
        <v>0.05</v>
      </c>
      <c r="I201" s="1" t="s">
        <v>41</v>
      </c>
    </row>
    <row r="202" spans="1:9" x14ac:dyDescent="0.3">
      <c r="A202" s="1" t="s">
        <v>231</v>
      </c>
      <c r="B202" s="1" t="s">
        <v>25</v>
      </c>
      <c r="C202" s="2">
        <v>43300</v>
      </c>
      <c r="D202" s="1" t="s">
        <v>17</v>
      </c>
      <c r="E202" s="1">
        <v>11</v>
      </c>
      <c r="F202" s="1">
        <v>230</v>
      </c>
      <c r="G202" s="1">
        <v>2530</v>
      </c>
      <c r="H202" s="1">
        <v>0.12</v>
      </c>
      <c r="I202" s="1" t="s">
        <v>11</v>
      </c>
    </row>
    <row r="203" spans="1:9" x14ac:dyDescent="0.3">
      <c r="A203" s="1" t="s">
        <v>232</v>
      </c>
      <c r="B203" s="1" t="s">
        <v>13</v>
      </c>
      <c r="C203" s="2">
        <v>43300</v>
      </c>
      <c r="D203" s="1" t="s">
        <v>32</v>
      </c>
      <c r="E203" s="1">
        <v>10</v>
      </c>
      <c r="F203" s="1">
        <v>150</v>
      </c>
      <c r="G203" s="1">
        <v>1500</v>
      </c>
      <c r="H203" s="1">
        <v>0.01</v>
      </c>
      <c r="I203" s="1" t="s">
        <v>15</v>
      </c>
    </row>
    <row r="204" spans="1:9" x14ac:dyDescent="0.3">
      <c r="A204" s="1" t="s">
        <v>233</v>
      </c>
      <c r="B204" s="1" t="s">
        <v>13</v>
      </c>
      <c r="C204" s="2">
        <v>43300</v>
      </c>
      <c r="D204" s="1" t="s">
        <v>10</v>
      </c>
      <c r="E204" s="1">
        <v>17</v>
      </c>
      <c r="F204" s="1">
        <v>80</v>
      </c>
      <c r="G204" s="1">
        <v>1360</v>
      </c>
      <c r="H204" s="1">
        <v>0.03</v>
      </c>
      <c r="I204" s="1" t="s">
        <v>18</v>
      </c>
    </row>
    <row r="205" spans="1:9" x14ac:dyDescent="0.3">
      <c r="A205" s="1" t="s">
        <v>234</v>
      </c>
      <c r="B205" s="1" t="s">
        <v>9</v>
      </c>
      <c r="C205" s="2">
        <v>43301</v>
      </c>
      <c r="D205" s="1" t="s">
        <v>17</v>
      </c>
      <c r="E205" s="1">
        <v>9</v>
      </c>
      <c r="F205" s="1">
        <v>230</v>
      </c>
      <c r="G205" s="1">
        <v>2070</v>
      </c>
      <c r="H205" s="1">
        <v>7.0000000000000007E-2</v>
      </c>
      <c r="I205" s="1" t="s">
        <v>46</v>
      </c>
    </row>
    <row r="206" spans="1:9" x14ac:dyDescent="0.3">
      <c r="A206" s="1" t="s">
        <v>235</v>
      </c>
      <c r="B206" s="1" t="s">
        <v>9</v>
      </c>
      <c r="C206" s="2">
        <v>43301</v>
      </c>
      <c r="D206" s="1" t="s">
        <v>17</v>
      </c>
      <c r="E206" s="1">
        <v>11</v>
      </c>
      <c r="F206" s="1">
        <v>230</v>
      </c>
      <c r="G206" s="1">
        <v>2530</v>
      </c>
      <c r="H206" s="1">
        <v>0.02</v>
      </c>
      <c r="I206" s="1" t="s">
        <v>23</v>
      </c>
    </row>
    <row r="207" spans="1:9" x14ac:dyDescent="0.3">
      <c r="A207" s="1" t="s">
        <v>236</v>
      </c>
      <c r="B207" s="1" t="s">
        <v>22</v>
      </c>
      <c r="C207" s="2">
        <v>43301</v>
      </c>
      <c r="D207" s="1" t="s">
        <v>14</v>
      </c>
      <c r="E207" s="1">
        <v>2</v>
      </c>
      <c r="F207" s="1">
        <v>40</v>
      </c>
      <c r="G207" s="1">
        <v>80</v>
      </c>
      <c r="H207" s="1">
        <v>0.02</v>
      </c>
      <c r="I207" s="1" t="s">
        <v>26</v>
      </c>
    </row>
    <row r="208" spans="1:9" x14ac:dyDescent="0.3">
      <c r="A208" s="1" t="s">
        <v>237</v>
      </c>
      <c r="B208" s="1" t="s">
        <v>28</v>
      </c>
      <c r="C208" s="2">
        <v>43301</v>
      </c>
      <c r="D208" s="1" t="s">
        <v>17</v>
      </c>
      <c r="E208" s="1">
        <v>3</v>
      </c>
      <c r="F208" s="1">
        <v>230</v>
      </c>
      <c r="G208" s="1">
        <v>690</v>
      </c>
      <c r="H208" s="1">
        <v>0.1</v>
      </c>
      <c r="I208" s="1" t="s">
        <v>30</v>
      </c>
    </row>
    <row r="209" spans="1:9" x14ac:dyDescent="0.3">
      <c r="A209" s="1" t="s">
        <v>238</v>
      </c>
      <c r="B209" s="1" t="s">
        <v>28</v>
      </c>
      <c r="C209" s="2">
        <v>43301</v>
      </c>
      <c r="D209" s="1" t="s">
        <v>14</v>
      </c>
      <c r="E209" s="1">
        <v>7</v>
      </c>
      <c r="F209" s="1">
        <v>40</v>
      </c>
      <c r="G209" s="1">
        <v>280</v>
      </c>
      <c r="H209" s="1">
        <v>0.05</v>
      </c>
      <c r="I209" s="1" t="s">
        <v>33</v>
      </c>
    </row>
    <row r="210" spans="1:9" x14ac:dyDescent="0.3">
      <c r="A210" s="1" t="s">
        <v>239</v>
      </c>
      <c r="B210" s="1" t="s">
        <v>13</v>
      </c>
      <c r="C210" s="2">
        <v>43301</v>
      </c>
      <c r="D210" s="1" t="s">
        <v>32</v>
      </c>
      <c r="E210" s="1">
        <v>20</v>
      </c>
      <c r="F210" s="1">
        <v>150</v>
      </c>
      <c r="G210" s="1">
        <v>3000</v>
      </c>
      <c r="H210" s="1">
        <v>0.09</v>
      </c>
      <c r="I210" s="1" t="s">
        <v>35</v>
      </c>
    </row>
    <row r="211" spans="1:9" x14ac:dyDescent="0.3">
      <c r="A211" s="1" t="s">
        <v>240</v>
      </c>
      <c r="B211" s="1" t="s">
        <v>22</v>
      </c>
      <c r="C211" s="2">
        <v>43301</v>
      </c>
      <c r="D211" s="1" t="s">
        <v>14</v>
      </c>
      <c r="E211" s="1">
        <v>4</v>
      </c>
      <c r="F211" s="1">
        <v>40</v>
      </c>
      <c r="G211" s="1">
        <v>160</v>
      </c>
      <c r="H211" s="1">
        <v>0.11</v>
      </c>
      <c r="I211" s="1" t="s">
        <v>37</v>
      </c>
    </row>
    <row r="212" spans="1:9" x14ac:dyDescent="0.3">
      <c r="A212" s="1" t="s">
        <v>241</v>
      </c>
      <c r="B212" s="1" t="s">
        <v>22</v>
      </c>
      <c r="C212" s="2">
        <v>43302</v>
      </c>
      <c r="D212" s="1" t="s">
        <v>17</v>
      </c>
      <c r="E212" s="1">
        <v>2</v>
      </c>
      <c r="F212" s="1">
        <v>230</v>
      </c>
      <c r="G212" s="1">
        <v>460</v>
      </c>
      <c r="H212" s="1">
        <v>0.09</v>
      </c>
      <c r="I212" s="1" t="s">
        <v>11</v>
      </c>
    </row>
    <row r="213" spans="1:9" x14ac:dyDescent="0.3">
      <c r="A213" s="1" t="s">
        <v>242</v>
      </c>
      <c r="B213" s="1" t="s">
        <v>13</v>
      </c>
      <c r="C213" s="2">
        <v>43302</v>
      </c>
      <c r="D213" s="1" t="s">
        <v>14</v>
      </c>
      <c r="E213" s="1">
        <v>7</v>
      </c>
      <c r="F213" s="1">
        <v>40</v>
      </c>
      <c r="G213" s="1">
        <v>280</v>
      </c>
      <c r="H213" s="1">
        <v>0.01</v>
      </c>
      <c r="I213" s="1" t="s">
        <v>15</v>
      </c>
    </row>
    <row r="214" spans="1:9" x14ac:dyDescent="0.3">
      <c r="A214" s="1" t="s">
        <v>243</v>
      </c>
      <c r="B214" s="1" t="s">
        <v>9</v>
      </c>
      <c r="C214" s="2">
        <v>43302</v>
      </c>
      <c r="D214" s="1" t="s">
        <v>14</v>
      </c>
      <c r="E214" s="1">
        <v>2</v>
      </c>
      <c r="F214" s="1">
        <v>40</v>
      </c>
      <c r="G214" s="1">
        <v>80</v>
      </c>
      <c r="H214" s="1">
        <v>0.12</v>
      </c>
      <c r="I214" s="1" t="s">
        <v>18</v>
      </c>
    </row>
    <row r="215" spans="1:9" x14ac:dyDescent="0.3">
      <c r="A215" s="1" t="s">
        <v>244</v>
      </c>
      <c r="B215" s="1" t="s">
        <v>13</v>
      </c>
      <c r="C215" s="2">
        <v>43302</v>
      </c>
      <c r="D215" s="1" t="s">
        <v>10</v>
      </c>
      <c r="E215" s="1">
        <v>3</v>
      </c>
      <c r="F215" s="1">
        <v>80</v>
      </c>
      <c r="G215" s="1">
        <v>240</v>
      </c>
      <c r="H215" s="1">
        <v>0.02</v>
      </c>
      <c r="I215" s="1" t="s">
        <v>46</v>
      </c>
    </row>
    <row r="216" spans="1:9" x14ac:dyDescent="0.3">
      <c r="A216" s="1" t="s">
        <v>245</v>
      </c>
      <c r="B216" s="1" t="s">
        <v>9</v>
      </c>
      <c r="C216" s="2">
        <v>43302</v>
      </c>
      <c r="D216" s="1" t="s">
        <v>29</v>
      </c>
      <c r="E216" s="1">
        <v>18</v>
      </c>
      <c r="F216" s="1">
        <v>16</v>
      </c>
      <c r="G216" s="1">
        <v>288</v>
      </c>
      <c r="H216" s="1">
        <v>0.11</v>
      </c>
      <c r="I216" s="1" t="s">
        <v>23</v>
      </c>
    </row>
    <row r="217" spans="1:9" x14ac:dyDescent="0.3">
      <c r="A217" s="1" t="s">
        <v>246</v>
      </c>
      <c r="B217" s="1" t="s">
        <v>13</v>
      </c>
      <c r="C217" s="2">
        <v>43302</v>
      </c>
      <c r="D217" s="1" t="s">
        <v>10</v>
      </c>
      <c r="E217" s="1">
        <v>5</v>
      </c>
      <c r="F217" s="1">
        <v>80</v>
      </c>
      <c r="G217" s="1">
        <v>400</v>
      </c>
      <c r="H217" s="1">
        <v>7.0000000000000007E-2</v>
      </c>
      <c r="I217" s="1" t="s">
        <v>26</v>
      </c>
    </row>
    <row r="218" spans="1:9" x14ac:dyDescent="0.3">
      <c r="A218" s="1" t="s">
        <v>247</v>
      </c>
      <c r="B218" s="1" t="s">
        <v>22</v>
      </c>
      <c r="C218" s="2">
        <v>43302</v>
      </c>
      <c r="D218" s="1" t="s">
        <v>29</v>
      </c>
      <c r="E218" s="1">
        <v>3</v>
      </c>
      <c r="F218" s="1">
        <v>16</v>
      </c>
      <c r="G218" s="1">
        <v>48</v>
      </c>
      <c r="H218" s="1">
        <v>0.05</v>
      </c>
      <c r="I218" s="1" t="s">
        <v>30</v>
      </c>
    </row>
    <row r="219" spans="1:9" x14ac:dyDescent="0.3">
      <c r="A219" s="1" t="s">
        <v>248</v>
      </c>
      <c r="B219" s="1" t="s">
        <v>25</v>
      </c>
      <c r="C219" s="2">
        <v>43302</v>
      </c>
      <c r="D219" s="1" t="s">
        <v>10</v>
      </c>
      <c r="E219" s="1">
        <v>7</v>
      </c>
      <c r="F219" s="1">
        <v>80</v>
      </c>
      <c r="G219" s="1">
        <v>560</v>
      </c>
      <c r="H219" s="1">
        <v>0.02</v>
      </c>
      <c r="I219" s="1" t="s">
        <v>33</v>
      </c>
    </row>
    <row r="220" spans="1:9" x14ac:dyDescent="0.3">
      <c r="A220" s="1" t="s">
        <v>249</v>
      </c>
      <c r="B220" s="1" t="s">
        <v>25</v>
      </c>
      <c r="C220" s="2">
        <v>43302</v>
      </c>
      <c r="D220" s="1" t="s">
        <v>32</v>
      </c>
      <c r="E220" s="1">
        <v>15</v>
      </c>
      <c r="F220" s="1">
        <v>150</v>
      </c>
      <c r="G220" s="1">
        <v>2250</v>
      </c>
      <c r="H220" s="1">
        <v>0.08</v>
      </c>
      <c r="I220" s="1" t="s">
        <v>35</v>
      </c>
    </row>
    <row r="221" spans="1:9" x14ac:dyDescent="0.3">
      <c r="A221" s="1" t="s">
        <v>250</v>
      </c>
      <c r="B221" s="1" t="s">
        <v>22</v>
      </c>
      <c r="C221" s="2">
        <v>43302</v>
      </c>
      <c r="D221" s="1" t="s">
        <v>10</v>
      </c>
      <c r="E221" s="1">
        <v>10</v>
      </c>
      <c r="F221" s="1">
        <v>80</v>
      </c>
      <c r="G221" s="1">
        <v>800</v>
      </c>
      <c r="H221" s="1">
        <v>0.11</v>
      </c>
      <c r="I221" s="1" t="s">
        <v>37</v>
      </c>
    </row>
    <row r="222" spans="1:9" x14ac:dyDescent="0.3">
      <c r="A222" s="1" t="s">
        <v>251</v>
      </c>
      <c r="B222" s="1" t="s">
        <v>28</v>
      </c>
      <c r="C222" s="2">
        <v>43302</v>
      </c>
      <c r="D222" s="1" t="s">
        <v>17</v>
      </c>
      <c r="E222" s="1">
        <v>13</v>
      </c>
      <c r="F222" s="1">
        <v>230</v>
      </c>
      <c r="G222" s="1">
        <v>2990</v>
      </c>
      <c r="H222" s="1">
        <v>0.06</v>
      </c>
      <c r="I222" s="1" t="s">
        <v>39</v>
      </c>
    </row>
    <row r="223" spans="1:9" x14ac:dyDescent="0.3">
      <c r="A223" s="1" t="s">
        <v>252</v>
      </c>
      <c r="B223" s="1" t="s">
        <v>9</v>
      </c>
      <c r="C223" s="2">
        <v>43302</v>
      </c>
      <c r="D223" s="1" t="s">
        <v>14</v>
      </c>
      <c r="E223" s="1">
        <v>7</v>
      </c>
      <c r="F223" s="1">
        <v>40</v>
      </c>
      <c r="G223" s="1">
        <v>280</v>
      </c>
      <c r="H223" s="1">
        <v>0.1</v>
      </c>
      <c r="I223" s="1" t="s">
        <v>41</v>
      </c>
    </row>
    <row r="224" spans="1:9" x14ac:dyDescent="0.3">
      <c r="A224" s="1" t="s">
        <v>253</v>
      </c>
      <c r="B224" s="1" t="s">
        <v>22</v>
      </c>
      <c r="C224" s="2">
        <v>43302</v>
      </c>
      <c r="D224" s="1" t="s">
        <v>29</v>
      </c>
      <c r="E224" s="1">
        <v>6</v>
      </c>
      <c r="F224" s="1">
        <v>16</v>
      </c>
      <c r="G224" s="1">
        <v>96</v>
      </c>
      <c r="H224" s="1">
        <v>0.01</v>
      </c>
      <c r="I224" s="1" t="s">
        <v>11</v>
      </c>
    </row>
    <row r="225" spans="1:9" x14ac:dyDescent="0.3">
      <c r="A225" s="1" t="s">
        <v>254</v>
      </c>
      <c r="B225" s="1" t="s">
        <v>22</v>
      </c>
      <c r="C225" s="2">
        <v>43303</v>
      </c>
      <c r="D225" s="1" t="s">
        <v>14</v>
      </c>
      <c r="E225" s="1">
        <v>11</v>
      </c>
      <c r="F225" s="1">
        <v>40</v>
      </c>
      <c r="G225" s="1">
        <v>440</v>
      </c>
      <c r="H225" s="1">
        <v>0.05</v>
      </c>
      <c r="I225" s="1" t="s">
        <v>15</v>
      </c>
    </row>
    <row r="226" spans="1:9" x14ac:dyDescent="0.3">
      <c r="A226" s="1" t="s">
        <v>255</v>
      </c>
      <c r="B226" s="1" t="s">
        <v>25</v>
      </c>
      <c r="C226" s="2">
        <v>43303</v>
      </c>
      <c r="D226" s="1" t="s">
        <v>10</v>
      </c>
      <c r="E226" s="1">
        <v>8</v>
      </c>
      <c r="F226" s="1">
        <v>80</v>
      </c>
      <c r="G226" s="1">
        <v>640</v>
      </c>
      <c r="H226" s="1">
        <v>0.06</v>
      </c>
      <c r="I226" s="1" t="s">
        <v>18</v>
      </c>
    </row>
    <row r="227" spans="1:9" x14ac:dyDescent="0.3">
      <c r="A227" s="1" t="s">
        <v>256</v>
      </c>
      <c r="B227" s="1" t="s">
        <v>9</v>
      </c>
      <c r="C227" s="2">
        <v>43303</v>
      </c>
      <c r="D227" s="1" t="s">
        <v>10</v>
      </c>
      <c r="E227" s="1">
        <v>9</v>
      </c>
      <c r="F227" s="1">
        <v>80</v>
      </c>
      <c r="G227" s="1">
        <v>720</v>
      </c>
      <c r="H227" s="1">
        <v>0.04</v>
      </c>
      <c r="I227" s="1" t="s">
        <v>46</v>
      </c>
    </row>
    <row r="228" spans="1:9" x14ac:dyDescent="0.3">
      <c r="A228" s="1" t="s">
        <v>257</v>
      </c>
      <c r="B228" s="1" t="s">
        <v>28</v>
      </c>
      <c r="C228" s="2">
        <v>43303</v>
      </c>
      <c r="D228" s="1" t="s">
        <v>14</v>
      </c>
      <c r="E228" s="1">
        <v>4</v>
      </c>
      <c r="F228" s="1">
        <v>40</v>
      </c>
      <c r="G228" s="1">
        <v>160</v>
      </c>
      <c r="H228" s="1">
        <v>0.09</v>
      </c>
      <c r="I228" s="1" t="s">
        <v>23</v>
      </c>
    </row>
    <row r="229" spans="1:9" x14ac:dyDescent="0.3">
      <c r="A229" s="1" t="s">
        <v>258</v>
      </c>
      <c r="B229" s="1" t="s">
        <v>13</v>
      </c>
      <c r="C229" s="2">
        <v>43303</v>
      </c>
      <c r="D229" s="1" t="s">
        <v>10</v>
      </c>
      <c r="E229" s="1">
        <v>13</v>
      </c>
      <c r="F229" s="1">
        <v>80</v>
      </c>
      <c r="G229" s="1">
        <v>1040</v>
      </c>
      <c r="H229" s="1">
        <v>0.06</v>
      </c>
      <c r="I229" s="1" t="s">
        <v>26</v>
      </c>
    </row>
    <row r="230" spans="1:9" x14ac:dyDescent="0.3">
      <c r="A230" s="1" t="s">
        <v>259</v>
      </c>
      <c r="B230" s="1" t="s">
        <v>28</v>
      </c>
      <c r="C230" s="2">
        <v>43303</v>
      </c>
      <c r="D230" s="1" t="s">
        <v>32</v>
      </c>
      <c r="E230" s="1">
        <v>4</v>
      </c>
      <c r="F230" s="1">
        <v>150</v>
      </c>
      <c r="G230" s="1">
        <v>600</v>
      </c>
      <c r="H230" s="1">
        <v>0.05</v>
      </c>
      <c r="I230" s="1" t="s">
        <v>30</v>
      </c>
    </row>
    <row r="231" spans="1:9" x14ac:dyDescent="0.3">
      <c r="A231" s="1" t="s">
        <v>260</v>
      </c>
      <c r="B231" s="1" t="s">
        <v>22</v>
      </c>
      <c r="C231" s="2">
        <v>43303</v>
      </c>
      <c r="D231" s="1" t="s">
        <v>17</v>
      </c>
      <c r="E231" s="1">
        <v>14</v>
      </c>
      <c r="F231" s="1">
        <v>230</v>
      </c>
      <c r="G231" s="1">
        <v>3220</v>
      </c>
      <c r="H231" s="1">
        <v>0.12</v>
      </c>
      <c r="I231" s="1" t="s">
        <v>33</v>
      </c>
    </row>
    <row r="232" spans="1:9" x14ac:dyDescent="0.3">
      <c r="A232" s="1" t="s">
        <v>261</v>
      </c>
      <c r="B232" s="1" t="s">
        <v>28</v>
      </c>
      <c r="C232" s="2">
        <v>43303</v>
      </c>
      <c r="D232" s="1" t="s">
        <v>32</v>
      </c>
      <c r="E232" s="1">
        <v>13</v>
      </c>
      <c r="F232" s="1">
        <v>150</v>
      </c>
      <c r="G232" s="1">
        <v>1950</v>
      </c>
      <c r="H232" s="1">
        <v>0.11</v>
      </c>
      <c r="I232" s="1" t="s">
        <v>35</v>
      </c>
    </row>
    <row r="233" spans="1:9" x14ac:dyDescent="0.3">
      <c r="A233" s="1" t="s">
        <v>262</v>
      </c>
      <c r="B233" s="1" t="s">
        <v>13</v>
      </c>
      <c r="C233" s="2">
        <v>43303</v>
      </c>
      <c r="D233" s="1" t="s">
        <v>32</v>
      </c>
      <c r="E233" s="1">
        <v>16</v>
      </c>
      <c r="F233" s="1">
        <v>150</v>
      </c>
      <c r="G233" s="1">
        <v>2400</v>
      </c>
      <c r="H233" s="1">
        <v>0.03</v>
      </c>
      <c r="I233" s="1" t="s">
        <v>37</v>
      </c>
    </row>
    <row r="234" spans="1:9" x14ac:dyDescent="0.3">
      <c r="A234" s="1" t="s">
        <v>263</v>
      </c>
      <c r="B234" s="1" t="s">
        <v>9</v>
      </c>
      <c r="C234" s="2">
        <v>43303</v>
      </c>
      <c r="D234" s="1" t="s">
        <v>29</v>
      </c>
      <c r="E234" s="1">
        <v>7</v>
      </c>
      <c r="F234" s="1">
        <v>16</v>
      </c>
      <c r="G234" s="1">
        <v>112</v>
      </c>
      <c r="H234" s="1">
        <v>0.12</v>
      </c>
      <c r="I234" s="1" t="s">
        <v>39</v>
      </c>
    </row>
    <row r="235" spans="1:9" x14ac:dyDescent="0.3">
      <c r="A235" s="1" t="s">
        <v>264</v>
      </c>
      <c r="B235" s="1" t="s">
        <v>25</v>
      </c>
      <c r="C235" s="2">
        <v>43303</v>
      </c>
      <c r="D235" s="1" t="s">
        <v>32</v>
      </c>
      <c r="E235" s="1">
        <v>9</v>
      </c>
      <c r="F235" s="1">
        <v>150</v>
      </c>
      <c r="G235" s="1">
        <v>1350</v>
      </c>
      <c r="H235" s="1">
        <v>0.02</v>
      </c>
      <c r="I235" s="1" t="s">
        <v>41</v>
      </c>
    </row>
    <row r="236" spans="1:9" x14ac:dyDescent="0.3">
      <c r="A236" s="1" t="s">
        <v>265</v>
      </c>
      <c r="B236" s="1" t="s">
        <v>9</v>
      </c>
      <c r="C236" s="2">
        <v>43303</v>
      </c>
      <c r="D236" s="1" t="s">
        <v>29</v>
      </c>
      <c r="E236" s="1">
        <v>10</v>
      </c>
      <c r="F236" s="1">
        <v>16</v>
      </c>
      <c r="G236" s="1">
        <v>160</v>
      </c>
      <c r="H236" s="1">
        <v>0.08</v>
      </c>
      <c r="I236" s="1" t="s">
        <v>11</v>
      </c>
    </row>
    <row r="237" spans="1:9" x14ac:dyDescent="0.3">
      <c r="A237" s="1" t="s">
        <v>266</v>
      </c>
      <c r="B237" s="1" t="s">
        <v>25</v>
      </c>
      <c r="C237" s="2">
        <v>43303</v>
      </c>
      <c r="D237" s="1" t="s">
        <v>10</v>
      </c>
      <c r="E237" s="1">
        <v>15</v>
      </c>
      <c r="F237" s="1">
        <v>80</v>
      </c>
      <c r="G237" s="1">
        <v>1200</v>
      </c>
      <c r="H237" s="1">
        <v>0.08</v>
      </c>
      <c r="I237" s="1" t="s">
        <v>15</v>
      </c>
    </row>
    <row r="238" spans="1:9" x14ac:dyDescent="0.3">
      <c r="A238" s="1" t="s">
        <v>267</v>
      </c>
      <c r="B238" s="1" t="s">
        <v>28</v>
      </c>
      <c r="C238" s="2">
        <v>43303</v>
      </c>
      <c r="D238" s="1" t="s">
        <v>10</v>
      </c>
      <c r="E238" s="1">
        <v>9</v>
      </c>
      <c r="F238" s="1">
        <v>80</v>
      </c>
      <c r="G238" s="1">
        <v>720</v>
      </c>
      <c r="H238" s="1">
        <v>0.06</v>
      </c>
      <c r="I238" s="1" t="s">
        <v>18</v>
      </c>
    </row>
    <row r="239" spans="1:9" x14ac:dyDescent="0.3">
      <c r="A239" s="1" t="s">
        <v>268</v>
      </c>
      <c r="B239" s="1" t="s">
        <v>25</v>
      </c>
      <c r="C239" s="2">
        <v>43304</v>
      </c>
      <c r="D239" s="1" t="s">
        <v>29</v>
      </c>
      <c r="E239" s="1">
        <v>7</v>
      </c>
      <c r="F239" s="1">
        <v>16</v>
      </c>
      <c r="G239" s="1">
        <v>112</v>
      </c>
      <c r="H239" s="1">
        <v>0.08</v>
      </c>
      <c r="I239" s="1" t="s">
        <v>46</v>
      </c>
    </row>
    <row r="240" spans="1:9" x14ac:dyDescent="0.3">
      <c r="A240" s="1" t="s">
        <v>269</v>
      </c>
      <c r="B240" s="1" t="s">
        <v>28</v>
      </c>
      <c r="C240" s="2">
        <v>43304</v>
      </c>
      <c r="D240" s="1" t="s">
        <v>32</v>
      </c>
      <c r="E240" s="1">
        <v>7</v>
      </c>
      <c r="F240" s="1">
        <v>150</v>
      </c>
      <c r="G240" s="1">
        <v>1050</v>
      </c>
      <c r="H240" s="1">
        <v>0.03</v>
      </c>
      <c r="I240" s="1" t="s">
        <v>23</v>
      </c>
    </row>
    <row r="241" spans="1:9" x14ac:dyDescent="0.3">
      <c r="A241" s="1" t="s">
        <v>270</v>
      </c>
      <c r="B241" s="1" t="s">
        <v>25</v>
      </c>
      <c r="C241" s="2">
        <v>43304</v>
      </c>
      <c r="D241" s="1" t="s">
        <v>17</v>
      </c>
      <c r="E241" s="1">
        <v>16</v>
      </c>
      <c r="F241" s="1">
        <v>230</v>
      </c>
      <c r="G241" s="1">
        <v>3680</v>
      </c>
      <c r="H241" s="1">
        <v>0.11</v>
      </c>
      <c r="I241" s="1" t="s">
        <v>26</v>
      </c>
    </row>
    <row r="242" spans="1:9" x14ac:dyDescent="0.3">
      <c r="A242" s="1" t="s">
        <v>271</v>
      </c>
      <c r="B242" s="1" t="s">
        <v>25</v>
      </c>
      <c r="C242" s="2">
        <v>43304</v>
      </c>
      <c r="D242" s="1" t="s">
        <v>29</v>
      </c>
      <c r="E242" s="1">
        <v>18</v>
      </c>
      <c r="F242" s="1">
        <v>16</v>
      </c>
      <c r="G242" s="1">
        <v>288</v>
      </c>
      <c r="H242" s="1">
        <v>0.04</v>
      </c>
      <c r="I242" s="1" t="s">
        <v>30</v>
      </c>
    </row>
    <row r="243" spans="1:9" x14ac:dyDescent="0.3">
      <c r="A243" s="1" t="s">
        <v>272</v>
      </c>
      <c r="B243" s="1" t="s">
        <v>28</v>
      </c>
      <c r="C243" s="2">
        <v>43304</v>
      </c>
      <c r="D243" s="1" t="s">
        <v>17</v>
      </c>
      <c r="E243" s="1">
        <v>20</v>
      </c>
      <c r="F243" s="1">
        <v>230</v>
      </c>
      <c r="G243" s="1">
        <v>4600</v>
      </c>
      <c r="H243" s="1">
        <v>0.11</v>
      </c>
      <c r="I243" s="1" t="s">
        <v>33</v>
      </c>
    </row>
    <row r="244" spans="1:9" x14ac:dyDescent="0.3">
      <c r="A244" s="1" t="s">
        <v>273</v>
      </c>
      <c r="B244" s="1" t="s">
        <v>9</v>
      </c>
      <c r="C244" s="2">
        <v>43304</v>
      </c>
      <c r="D244" s="1" t="s">
        <v>32</v>
      </c>
      <c r="E244" s="1">
        <v>7</v>
      </c>
      <c r="F244" s="1">
        <v>150</v>
      </c>
      <c r="G244" s="1">
        <v>1050</v>
      </c>
      <c r="H244" s="1">
        <v>0.02</v>
      </c>
      <c r="I244" s="1" t="s">
        <v>35</v>
      </c>
    </row>
    <row r="245" spans="1:9" x14ac:dyDescent="0.3">
      <c r="A245" s="1" t="s">
        <v>274</v>
      </c>
      <c r="B245" s="1" t="s">
        <v>22</v>
      </c>
      <c r="C245" s="2">
        <v>43304</v>
      </c>
      <c r="D245" s="1" t="s">
        <v>29</v>
      </c>
      <c r="E245" s="1">
        <v>11</v>
      </c>
      <c r="F245" s="1">
        <v>16</v>
      </c>
      <c r="G245" s="1">
        <v>176</v>
      </c>
      <c r="H245" s="1">
        <v>0.12</v>
      </c>
      <c r="I245" s="1" t="s">
        <v>37</v>
      </c>
    </row>
    <row r="246" spans="1:9" x14ac:dyDescent="0.3">
      <c r="A246" s="1" t="s">
        <v>275</v>
      </c>
      <c r="B246" s="1" t="s">
        <v>22</v>
      </c>
      <c r="C246" s="2">
        <v>43304</v>
      </c>
      <c r="D246" s="1" t="s">
        <v>14</v>
      </c>
      <c r="E246" s="1">
        <v>12</v>
      </c>
      <c r="F246" s="1">
        <v>40</v>
      </c>
      <c r="G246" s="1">
        <v>480</v>
      </c>
      <c r="H246" s="1">
        <v>0.02</v>
      </c>
      <c r="I246" s="1" t="s">
        <v>39</v>
      </c>
    </row>
    <row r="247" spans="1:9" x14ac:dyDescent="0.3">
      <c r="A247" s="1" t="s">
        <v>276</v>
      </c>
      <c r="B247" s="1" t="s">
        <v>28</v>
      </c>
      <c r="C247" s="2">
        <v>43304</v>
      </c>
      <c r="D247" s="1" t="s">
        <v>32</v>
      </c>
      <c r="E247" s="1">
        <v>7</v>
      </c>
      <c r="F247" s="1">
        <v>150</v>
      </c>
      <c r="G247" s="1">
        <v>1050</v>
      </c>
      <c r="H247" s="1">
        <v>0.02</v>
      </c>
      <c r="I247" s="1" t="s">
        <v>41</v>
      </c>
    </row>
    <row r="248" spans="1:9" x14ac:dyDescent="0.3">
      <c r="A248" s="1" t="s">
        <v>277</v>
      </c>
      <c r="B248" s="1" t="s">
        <v>22</v>
      </c>
      <c r="C248" s="2">
        <v>43304</v>
      </c>
      <c r="D248" s="1" t="s">
        <v>10</v>
      </c>
      <c r="E248" s="1">
        <v>14</v>
      </c>
      <c r="F248" s="1">
        <v>80</v>
      </c>
      <c r="G248" s="1">
        <v>1120</v>
      </c>
      <c r="H248" s="1">
        <v>0.1</v>
      </c>
      <c r="I248" s="1" t="s">
        <v>11</v>
      </c>
    </row>
    <row r="249" spans="1:9" x14ac:dyDescent="0.3">
      <c r="A249" s="1" t="s">
        <v>278</v>
      </c>
      <c r="B249" s="1" t="s">
        <v>22</v>
      </c>
      <c r="C249" s="2">
        <v>43304</v>
      </c>
      <c r="D249" s="1" t="s">
        <v>17</v>
      </c>
      <c r="E249" s="1">
        <v>12</v>
      </c>
      <c r="F249" s="1">
        <v>230</v>
      </c>
      <c r="G249" s="1">
        <v>2760</v>
      </c>
      <c r="H249" s="1">
        <v>0.06</v>
      </c>
      <c r="I249" s="1" t="s">
        <v>15</v>
      </c>
    </row>
    <row r="250" spans="1:9" x14ac:dyDescent="0.3">
      <c r="A250" s="1" t="s">
        <v>279</v>
      </c>
      <c r="B250" s="1" t="s">
        <v>13</v>
      </c>
      <c r="C250" s="2">
        <v>43305</v>
      </c>
      <c r="D250" s="1" t="s">
        <v>10</v>
      </c>
      <c r="E250" s="1">
        <v>21</v>
      </c>
      <c r="F250" s="1">
        <v>80</v>
      </c>
      <c r="G250" s="1">
        <v>1680</v>
      </c>
      <c r="H250" s="1">
        <v>0.04</v>
      </c>
      <c r="I250" s="1" t="s">
        <v>18</v>
      </c>
    </row>
    <row r="251" spans="1:9" x14ac:dyDescent="0.3">
      <c r="A251" s="1" t="s">
        <v>280</v>
      </c>
      <c r="B251" s="1" t="s">
        <v>9</v>
      </c>
      <c r="C251" s="2">
        <v>43305</v>
      </c>
      <c r="D251" s="1" t="s">
        <v>32</v>
      </c>
      <c r="E251" s="1">
        <v>8</v>
      </c>
      <c r="F251" s="1">
        <v>150</v>
      </c>
      <c r="G251" s="1">
        <v>1200</v>
      </c>
      <c r="H251" s="1">
        <v>0.09</v>
      </c>
      <c r="I251" s="1" t="s">
        <v>46</v>
      </c>
    </row>
    <row r="252" spans="1:9" x14ac:dyDescent="0.3">
      <c r="A252" s="1" t="s">
        <v>281</v>
      </c>
      <c r="B252" s="1" t="s">
        <v>13</v>
      </c>
      <c r="C252" s="2">
        <v>43305</v>
      </c>
      <c r="D252" s="1" t="s">
        <v>10</v>
      </c>
      <c r="E252" s="1">
        <v>16</v>
      </c>
      <c r="F252" s="1">
        <v>80</v>
      </c>
      <c r="G252" s="1">
        <v>1280</v>
      </c>
      <c r="H252" s="1">
        <v>0.04</v>
      </c>
      <c r="I252" s="1" t="s">
        <v>23</v>
      </c>
    </row>
    <row r="253" spans="1:9" x14ac:dyDescent="0.3">
      <c r="A253" s="1" t="s">
        <v>282</v>
      </c>
      <c r="B253" s="1" t="s">
        <v>13</v>
      </c>
      <c r="C253" s="2">
        <v>43305</v>
      </c>
      <c r="D253" s="1" t="s">
        <v>17</v>
      </c>
      <c r="E253" s="1">
        <v>14</v>
      </c>
      <c r="F253" s="1">
        <v>230</v>
      </c>
      <c r="G253" s="1">
        <v>3220</v>
      </c>
      <c r="H253" s="1">
        <v>0.05</v>
      </c>
      <c r="I253" s="1" t="s">
        <v>26</v>
      </c>
    </row>
    <row r="254" spans="1:9" x14ac:dyDescent="0.3">
      <c r="A254" s="1" t="s">
        <v>283</v>
      </c>
      <c r="B254" s="1" t="s">
        <v>22</v>
      </c>
      <c r="C254" s="2">
        <v>43305</v>
      </c>
      <c r="D254" s="1" t="s">
        <v>14</v>
      </c>
      <c r="E254" s="1">
        <v>2</v>
      </c>
      <c r="F254" s="1">
        <v>40</v>
      </c>
      <c r="G254" s="1">
        <v>80</v>
      </c>
      <c r="H254" s="1">
        <v>0.03</v>
      </c>
      <c r="I254" s="1" t="s">
        <v>30</v>
      </c>
    </row>
    <row r="255" spans="1:9" x14ac:dyDescent="0.3">
      <c r="A255" s="1" t="s">
        <v>284</v>
      </c>
      <c r="B255" s="1" t="s">
        <v>9</v>
      </c>
      <c r="C255" s="2">
        <v>43305</v>
      </c>
      <c r="D255" s="1" t="s">
        <v>32</v>
      </c>
      <c r="E255" s="1">
        <v>4</v>
      </c>
      <c r="F255" s="1">
        <v>150</v>
      </c>
      <c r="G255" s="1">
        <v>600</v>
      </c>
      <c r="H255" s="1">
        <v>0.1</v>
      </c>
      <c r="I255" s="1" t="s">
        <v>33</v>
      </c>
    </row>
    <row r="256" spans="1:9" x14ac:dyDescent="0.3">
      <c r="A256" s="1" t="s">
        <v>285</v>
      </c>
      <c r="B256" s="1" t="s">
        <v>22</v>
      </c>
      <c r="C256" s="2">
        <v>43305</v>
      </c>
      <c r="D256" s="1" t="s">
        <v>10</v>
      </c>
      <c r="E256" s="1">
        <v>6</v>
      </c>
      <c r="F256" s="1">
        <v>80</v>
      </c>
      <c r="G256" s="1">
        <v>480</v>
      </c>
      <c r="H256" s="1">
        <v>0.01</v>
      </c>
      <c r="I256" s="1" t="s">
        <v>35</v>
      </c>
    </row>
    <row r="257" spans="1:9" x14ac:dyDescent="0.3">
      <c r="A257" s="1" t="s">
        <v>286</v>
      </c>
      <c r="B257" s="1" t="s">
        <v>22</v>
      </c>
      <c r="C257" s="2">
        <v>43305</v>
      </c>
      <c r="D257" s="1" t="s">
        <v>14</v>
      </c>
      <c r="E257" s="1">
        <v>6</v>
      </c>
      <c r="F257" s="1">
        <v>40</v>
      </c>
      <c r="G257" s="1">
        <v>240</v>
      </c>
      <c r="H257" s="1">
        <v>0.06</v>
      </c>
      <c r="I257" s="1" t="s">
        <v>37</v>
      </c>
    </row>
    <row r="258" spans="1:9" x14ac:dyDescent="0.3">
      <c r="A258" s="1" t="s">
        <v>287</v>
      </c>
      <c r="B258" s="1" t="s">
        <v>9</v>
      </c>
      <c r="C258" s="2">
        <v>43305</v>
      </c>
      <c r="D258" s="1" t="s">
        <v>32</v>
      </c>
      <c r="E258" s="1">
        <v>20</v>
      </c>
      <c r="F258" s="1">
        <v>150</v>
      </c>
      <c r="G258" s="1">
        <v>3000</v>
      </c>
      <c r="H258" s="1">
        <v>0.04</v>
      </c>
      <c r="I258" s="1" t="s">
        <v>39</v>
      </c>
    </row>
    <row r="259" spans="1:9" x14ac:dyDescent="0.3">
      <c r="A259" s="1" t="s">
        <v>288</v>
      </c>
      <c r="B259" s="1" t="s">
        <v>22</v>
      </c>
      <c r="C259" s="2">
        <v>43305</v>
      </c>
      <c r="D259" s="1" t="s">
        <v>14</v>
      </c>
      <c r="E259" s="1">
        <v>18</v>
      </c>
      <c r="F259" s="1">
        <v>40</v>
      </c>
      <c r="G259" s="1">
        <v>720</v>
      </c>
      <c r="H259" s="1">
        <v>0.03</v>
      </c>
      <c r="I259" s="1" t="s">
        <v>41</v>
      </c>
    </row>
    <row r="260" spans="1:9" x14ac:dyDescent="0.3">
      <c r="A260" s="1" t="s">
        <v>289</v>
      </c>
      <c r="B260" s="1" t="s">
        <v>25</v>
      </c>
      <c r="C260" s="2">
        <v>43305</v>
      </c>
      <c r="D260" s="1" t="s">
        <v>17</v>
      </c>
      <c r="E260" s="1">
        <v>18</v>
      </c>
      <c r="F260" s="1">
        <v>230</v>
      </c>
      <c r="G260" s="1">
        <v>4140</v>
      </c>
      <c r="H260" s="1">
        <v>0.01</v>
      </c>
      <c r="I260" s="1" t="s">
        <v>11</v>
      </c>
    </row>
    <row r="261" spans="1:9" x14ac:dyDescent="0.3">
      <c r="A261" s="1" t="s">
        <v>290</v>
      </c>
      <c r="B261" s="1" t="s">
        <v>22</v>
      </c>
      <c r="C261" s="2">
        <v>43305</v>
      </c>
      <c r="D261" s="1" t="s">
        <v>17</v>
      </c>
      <c r="E261" s="1">
        <v>15</v>
      </c>
      <c r="F261" s="1">
        <v>230</v>
      </c>
      <c r="G261" s="1">
        <v>3450</v>
      </c>
      <c r="H261" s="1">
        <v>0.04</v>
      </c>
      <c r="I261" s="1" t="s">
        <v>15</v>
      </c>
    </row>
    <row r="262" spans="1:9" x14ac:dyDescent="0.3">
      <c r="A262" s="1" t="s">
        <v>291</v>
      </c>
      <c r="B262" s="1" t="s">
        <v>13</v>
      </c>
      <c r="C262" s="2">
        <v>43305</v>
      </c>
      <c r="D262" s="1" t="s">
        <v>29</v>
      </c>
      <c r="E262" s="1">
        <v>22</v>
      </c>
      <c r="F262" s="1">
        <v>16</v>
      </c>
      <c r="G262" s="1">
        <v>352</v>
      </c>
      <c r="H262" s="1">
        <v>0.01</v>
      </c>
      <c r="I262" s="1" t="s">
        <v>18</v>
      </c>
    </row>
    <row r="263" spans="1:9" x14ac:dyDescent="0.3">
      <c r="A263" s="1" t="s">
        <v>292</v>
      </c>
      <c r="B263" s="1" t="s">
        <v>9</v>
      </c>
      <c r="C263" s="2">
        <v>43305</v>
      </c>
      <c r="D263" s="1" t="s">
        <v>32</v>
      </c>
      <c r="E263" s="1">
        <v>17</v>
      </c>
      <c r="F263" s="1">
        <v>150</v>
      </c>
      <c r="G263" s="1">
        <v>2550</v>
      </c>
      <c r="H263" s="1">
        <v>0.12</v>
      </c>
      <c r="I263" s="1" t="s">
        <v>46</v>
      </c>
    </row>
    <row r="264" spans="1:9" x14ac:dyDescent="0.3">
      <c r="A264" s="1" t="s">
        <v>293</v>
      </c>
      <c r="B264" s="1" t="s">
        <v>13</v>
      </c>
      <c r="C264" s="2">
        <v>43306</v>
      </c>
      <c r="D264" s="1" t="s">
        <v>29</v>
      </c>
      <c r="E264" s="1">
        <v>5</v>
      </c>
      <c r="F264" s="1">
        <v>16</v>
      </c>
      <c r="G264" s="1">
        <v>80</v>
      </c>
      <c r="H264" s="1">
        <v>0.11</v>
      </c>
      <c r="I264" s="1" t="s">
        <v>23</v>
      </c>
    </row>
    <row r="265" spans="1:9" x14ac:dyDescent="0.3">
      <c r="A265" s="1" t="s">
        <v>294</v>
      </c>
      <c r="B265" s="1" t="s">
        <v>9</v>
      </c>
      <c r="C265" s="2">
        <v>43306</v>
      </c>
      <c r="D265" s="1" t="s">
        <v>32</v>
      </c>
      <c r="E265" s="1">
        <v>23</v>
      </c>
      <c r="F265" s="1">
        <v>150</v>
      </c>
      <c r="G265" s="1">
        <v>3450</v>
      </c>
      <c r="H265" s="1">
        <v>0.1</v>
      </c>
      <c r="I265" s="1" t="s">
        <v>26</v>
      </c>
    </row>
    <row r="266" spans="1:9" x14ac:dyDescent="0.3">
      <c r="A266" s="1" t="s">
        <v>295</v>
      </c>
      <c r="B266" s="1" t="s">
        <v>25</v>
      </c>
      <c r="C266" s="2">
        <v>43306</v>
      </c>
      <c r="D266" s="1" t="s">
        <v>32</v>
      </c>
      <c r="E266" s="1">
        <v>22</v>
      </c>
      <c r="F266" s="1">
        <v>150</v>
      </c>
      <c r="G266" s="1">
        <v>3300</v>
      </c>
      <c r="H266" s="1">
        <v>0.05</v>
      </c>
      <c r="I266" s="1" t="s">
        <v>30</v>
      </c>
    </row>
    <row r="267" spans="1:9" x14ac:dyDescent="0.3">
      <c r="A267" s="1" t="s">
        <v>296</v>
      </c>
      <c r="B267" s="1" t="s">
        <v>28</v>
      </c>
      <c r="C267" s="2">
        <v>43306</v>
      </c>
      <c r="D267" s="1" t="s">
        <v>29</v>
      </c>
      <c r="E267" s="1">
        <v>15</v>
      </c>
      <c r="F267" s="1">
        <v>16</v>
      </c>
      <c r="G267" s="1">
        <v>240</v>
      </c>
      <c r="H267" s="1">
        <v>0.01</v>
      </c>
      <c r="I267" s="1" t="s">
        <v>33</v>
      </c>
    </row>
    <row r="268" spans="1:9" x14ac:dyDescent="0.3">
      <c r="A268" s="1" t="s">
        <v>297</v>
      </c>
      <c r="B268" s="1" t="s">
        <v>25</v>
      </c>
      <c r="C268" s="2">
        <v>43306</v>
      </c>
      <c r="D268" s="1" t="s">
        <v>14</v>
      </c>
      <c r="E268" s="1">
        <v>7</v>
      </c>
      <c r="F268" s="1">
        <v>40</v>
      </c>
      <c r="G268" s="1">
        <v>280</v>
      </c>
      <c r="H268" s="1">
        <v>7.0000000000000007E-2</v>
      </c>
      <c r="I268" s="1" t="s">
        <v>35</v>
      </c>
    </row>
    <row r="269" spans="1:9" x14ac:dyDescent="0.3">
      <c r="A269" s="1" t="s">
        <v>298</v>
      </c>
      <c r="B269" s="1" t="s">
        <v>28</v>
      </c>
      <c r="C269" s="2">
        <v>43306</v>
      </c>
      <c r="D269" s="1" t="s">
        <v>10</v>
      </c>
      <c r="E269" s="1">
        <v>22</v>
      </c>
      <c r="F269" s="1">
        <v>80</v>
      </c>
      <c r="G269" s="1">
        <v>1760</v>
      </c>
      <c r="H269" s="1">
        <v>0.11</v>
      </c>
      <c r="I269" s="1" t="s">
        <v>37</v>
      </c>
    </row>
    <row r="270" spans="1:9" x14ac:dyDescent="0.3">
      <c r="A270" s="1" t="s">
        <v>299</v>
      </c>
      <c r="B270" s="1" t="s">
        <v>22</v>
      </c>
      <c r="C270" s="2">
        <v>43306</v>
      </c>
      <c r="D270" s="1" t="s">
        <v>32</v>
      </c>
      <c r="E270" s="1">
        <v>11</v>
      </c>
      <c r="F270" s="1">
        <v>150</v>
      </c>
      <c r="G270" s="1">
        <v>1650</v>
      </c>
      <c r="H270" s="1">
        <v>0.05</v>
      </c>
      <c r="I270" s="1" t="s">
        <v>39</v>
      </c>
    </row>
    <row r="271" spans="1:9" x14ac:dyDescent="0.3">
      <c r="A271" s="1" t="s">
        <v>300</v>
      </c>
      <c r="B271" s="1" t="s">
        <v>13</v>
      </c>
      <c r="C271" s="2">
        <v>43306</v>
      </c>
      <c r="D271" s="1" t="s">
        <v>14</v>
      </c>
      <c r="E271" s="1">
        <v>21</v>
      </c>
      <c r="F271" s="1">
        <v>40</v>
      </c>
      <c r="G271" s="1">
        <v>840</v>
      </c>
      <c r="H271" s="1">
        <v>0.03</v>
      </c>
      <c r="I271" s="1" t="s">
        <v>41</v>
      </c>
    </row>
    <row r="272" spans="1:9" x14ac:dyDescent="0.3">
      <c r="A272" s="1" t="s">
        <v>301</v>
      </c>
      <c r="B272" s="1" t="s">
        <v>25</v>
      </c>
      <c r="C272" s="2">
        <v>43306</v>
      </c>
      <c r="D272" s="1" t="s">
        <v>10</v>
      </c>
      <c r="E272" s="1">
        <v>23</v>
      </c>
      <c r="F272" s="1">
        <v>80</v>
      </c>
      <c r="G272" s="1">
        <v>1840</v>
      </c>
      <c r="H272" s="1">
        <v>0.11</v>
      </c>
      <c r="I272" s="1" t="s">
        <v>11</v>
      </c>
    </row>
    <row r="273" spans="1:9" x14ac:dyDescent="0.3">
      <c r="A273" s="1" t="s">
        <v>302</v>
      </c>
      <c r="B273" s="1" t="s">
        <v>22</v>
      </c>
      <c r="C273" s="2">
        <v>43306</v>
      </c>
      <c r="D273" s="1" t="s">
        <v>17</v>
      </c>
      <c r="E273" s="1">
        <v>7</v>
      </c>
      <c r="F273" s="1">
        <v>230</v>
      </c>
      <c r="G273" s="1">
        <v>1610</v>
      </c>
      <c r="H273" s="1">
        <v>0.01</v>
      </c>
      <c r="I273" s="1" t="s">
        <v>15</v>
      </c>
    </row>
    <row r="274" spans="1:9" x14ac:dyDescent="0.3">
      <c r="A274" s="1" t="s">
        <v>303</v>
      </c>
      <c r="B274" s="1" t="s">
        <v>9</v>
      </c>
      <c r="C274" s="2">
        <v>43306</v>
      </c>
      <c r="D274" s="1" t="s">
        <v>17</v>
      </c>
      <c r="E274" s="1">
        <v>16</v>
      </c>
      <c r="F274" s="1">
        <v>230</v>
      </c>
      <c r="G274" s="1">
        <v>3680</v>
      </c>
      <c r="H274" s="1">
        <v>7.0000000000000007E-2</v>
      </c>
      <c r="I274" s="1" t="s">
        <v>18</v>
      </c>
    </row>
    <row r="275" spans="1:9" x14ac:dyDescent="0.3">
      <c r="A275" s="1" t="s">
        <v>304</v>
      </c>
      <c r="B275" s="1" t="s">
        <v>13</v>
      </c>
      <c r="C275" s="2">
        <v>43306</v>
      </c>
      <c r="D275" s="1" t="s">
        <v>10</v>
      </c>
      <c r="E275" s="1">
        <v>14</v>
      </c>
      <c r="F275" s="1">
        <v>80</v>
      </c>
      <c r="G275" s="1">
        <v>1120</v>
      </c>
      <c r="H275" s="1">
        <v>0.11</v>
      </c>
      <c r="I275" s="1" t="s">
        <v>46</v>
      </c>
    </row>
    <row r="276" spans="1:9" x14ac:dyDescent="0.3">
      <c r="A276" s="1" t="s">
        <v>305</v>
      </c>
      <c r="B276" s="1" t="s">
        <v>22</v>
      </c>
      <c r="C276" s="2">
        <v>43306</v>
      </c>
      <c r="D276" s="1" t="s">
        <v>32</v>
      </c>
      <c r="E276" s="1">
        <v>22</v>
      </c>
      <c r="F276" s="1">
        <v>150</v>
      </c>
      <c r="G276" s="1">
        <v>3300</v>
      </c>
      <c r="H276" s="1">
        <v>0.09</v>
      </c>
      <c r="I276" s="1" t="s">
        <v>23</v>
      </c>
    </row>
    <row r="277" spans="1:9" x14ac:dyDescent="0.3">
      <c r="A277" s="1" t="s">
        <v>306</v>
      </c>
      <c r="B277" s="1" t="s">
        <v>25</v>
      </c>
      <c r="C277" s="2">
        <v>43306</v>
      </c>
      <c r="D277" s="1" t="s">
        <v>32</v>
      </c>
      <c r="E277" s="1">
        <v>4</v>
      </c>
      <c r="F277" s="1">
        <v>150</v>
      </c>
      <c r="G277" s="1">
        <v>600</v>
      </c>
      <c r="H277" s="1">
        <v>0.12</v>
      </c>
      <c r="I277" s="1" t="s">
        <v>26</v>
      </c>
    </row>
    <row r="278" spans="1:9" x14ac:dyDescent="0.3">
      <c r="A278" s="1" t="s">
        <v>307</v>
      </c>
      <c r="B278" s="1" t="s">
        <v>9</v>
      </c>
      <c r="C278" s="2">
        <v>43306</v>
      </c>
      <c r="D278" s="1" t="s">
        <v>32</v>
      </c>
      <c r="E278" s="1">
        <v>3</v>
      </c>
      <c r="F278" s="1">
        <v>150</v>
      </c>
      <c r="G278" s="1">
        <v>450</v>
      </c>
      <c r="H278" s="1">
        <v>0.03</v>
      </c>
      <c r="I278" s="1" t="s">
        <v>30</v>
      </c>
    </row>
    <row r="279" spans="1:9" x14ac:dyDescent="0.3">
      <c r="A279" s="1" t="s">
        <v>308</v>
      </c>
      <c r="B279" s="1" t="s">
        <v>28</v>
      </c>
      <c r="C279" s="2">
        <v>43306</v>
      </c>
      <c r="D279" s="1" t="s">
        <v>14</v>
      </c>
      <c r="E279" s="1">
        <v>17</v>
      </c>
      <c r="F279" s="1">
        <v>40</v>
      </c>
      <c r="G279" s="1">
        <v>680</v>
      </c>
      <c r="H279" s="1">
        <v>0.02</v>
      </c>
      <c r="I279" s="1" t="s">
        <v>33</v>
      </c>
    </row>
    <row r="280" spans="1:9" x14ac:dyDescent="0.3">
      <c r="A280" s="1" t="s">
        <v>309</v>
      </c>
      <c r="B280" s="1" t="s">
        <v>28</v>
      </c>
      <c r="C280" s="2">
        <v>43306</v>
      </c>
      <c r="D280" s="1" t="s">
        <v>10</v>
      </c>
      <c r="E280" s="1">
        <v>22</v>
      </c>
      <c r="F280" s="1">
        <v>80</v>
      </c>
      <c r="G280" s="1">
        <v>1760</v>
      </c>
      <c r="H280" s="1">
        <v>0.1</v>
      </c>
      <c r="I280" s="1" t="s">
        <v>35</v>
      </c>
    </row>
    <row r="281" spans="1:9" x14ac:dyDescent="0.3">
      <c r="A281" s="1" t="s">
        <v>310</v>
      </c>
      <c r="B281" s="1" t="s">
        <v>28</v>
      </c>
      <c r="C281" s="2">
        <v>43306</v>
      </c>
      <c r="D281" s="1" t="s">
        <v>32</v>
      </c>
      <c r="E281" s="1">
        <v>18</v>
      </c>
      <c r="F281" s="1">
        <v>150</v>
      </c>
      <c r="G281" s="1">
        <v>2700</v>
      </c>
      <c r="H281" s="1">
        <v>0.12</v>
      </c>
      <c r="I281" s="1" t="s">
        <v>37</v>
      </c>
    </row>
    <row r="282" spans="1:9" x14ac:dyDescent="0.3">
      <c r="A282" s="1" t="s">
        <v>311</v>
      </c>
      <c r="B282" s="1" t="s">
        <v>9</v>
      </c>
      <c r="C282" s="2">
        <v>43307</v>
      </c>
      <c r="D282" s="1" t="s">
        <v>32</v>
      </c>
      <c r="E282" s="1">
        <v>4</v>
      </c>
      <c r="F282" s="1">
        <v>150</v>
      </c>
      <c r="G282" s="1">
        <v>600</v>
      </c>
      <c r="H282" s="1">
        <v>0.06</v>
      </c>
      <c r="I282" s="1" t="s">
        <v>11</v>
      </c>
    </row>
    <row r="283" spans="1:9" x14ac:dyDescent="0.3">
      <c r="A283" s="1" t="s">
        <v>312</v>
      </c>
      <c r="B283" s="1" t="s">
        <v>13</v>
      </c>
      <c r="C283" s="2">
        <v>43307</v>
      </c>
      <c r="D283" s="1" t="s">
        <v>17</v>
      </c>
      <c r="E283" s="1">
        <v>22</v>
      </c>
      <c r="F283" s="1">
        <v>230</v>
      </c>
      <c r="G283" s="1">
        <v>5060</v>
      </c>
      <c r="H283" s="1">
        <v>0.04</v>
      </c>
      <c r="I283" s="1" t="s">
        <v>15</v>
      </c>
    </row>
    <row r="284" spans="1:9" x14ac:dyDescent="0.3">
      <c r="A284" s="1" t="s">
        <v>313</v>
      </c>
      <c r="B284" s="1" t="s">
        <v>13</v>
      </c>
      <c r="C284" s="2">
        <v>43307</v>
      </c>
      <c r="D284" s="1" t="s">
        <v>32</v>
      </c>
      <c r="E284" s="1">
        <v>15</v>
      </c>
      <c r="F284" s="1">
        <v>150</v>
      </c>
      <c r="G284" s="1">
        <v>2250</v>
      </c>
      <c r="H284" s="1">
        <v>0.12</v>
      </c>
      <c r="I284" s="1" t="s">
        <v>18</v>
      </c>
    </row>
    <row r="285" spans="1:9" x14ac:dyDescent="0.3">
      <c r="A285" s="1" t="s">
        <v>314</v>
      </c>
      <c r="B285" s="1" t="s">
        <v>9</v>
      </c>
      <c r="C285" s="2">
        <v>43307</v>
      </c>
      <c r="D285" s="1" t="s">
        <v>10</v>
      </c>
      <c r="E285" s="1">
        <v>17</v>
      </c>
      <c r="F285" s="1">
        <v>80</v>
      </c>
      <c r="G285" s="1">
        <v>1360</v>
      </c>
      <c r="H285" s="1">
        <v>7.0000000000000007E-2</v>
      </c>
      <c r="I285" s="1" t="s">
        <v>46</v>
      </c>
    </row>
    <row r="286" spans="1:9" x14ac:dyDescent="0.3">
      <c r="A286" s="1" t="s">
        <v>315</v>
      </c>
      <c r="B286" s="1" t="s">
        <v>28</v>
      </c>
      <c r="C286" s="2">
        <v>43307</v>
      </c>
      <c r="D286" s="1" t="s">
        <v>14</v>
      </c>
      <c r="E286" s="1">
        <v>10</v>
      </c>
      <c r="F286" s="1">
        <v>40</v>
      </c>
      <c r="G286" s="1">
        <v>400</v>
      </c>
      <c r="H286" s="1">
        <v>0.03</v>
      </c>
      <c r="I286" s="1" t="s">
        <v>23</v>
      </c>
    </row>
    <row r="287" spans="1:9" x14ac:dyDescent="0.3">
      <c r="A287" s="1" t="s">
        <v>316</v>
      </c>
      <c r="B287" s="1" t="s">
        <v>9</v>
      </c>
      <c r="C287" s="2">
        <v>43307</v>
      </c>
      <c r="D287" s="1" t="s">
        <v>14</v>
      </c>
      <c r="E287" s="1">
        <v>23</v>
      </c>
      <c r="F287" s="1">
        <v>40</v>
      </c>
      <c r="G287" s="1">
        <v>920</v>
      </c>
      <c r="H287" s="1">
        <v>7.0000000000000007E-2</v>
      </c>
      <c r="I287" s="1" t="s">
        <v>26</v>
      </c>
    </row>
    <row r="288" spans="1:9" x14ac:dyDescent="0.3">
      <c r="A288" s="1" t="s">
        <v>317</v>
      </c>
      <c r="B288" s="1" t="s">
        <v>13</v>
      </c>
      <c r="C288" s="2">
        <v>43307</v>
      </c>
      <c r="D288" s="1" t="s">
        <v>29</v>
      </c>
      <c r="E288" s="1">
        <v>22</v>
      </c>
      <c r="F288" s="1">
        <v>16</v>
      </c>
      <c r="G288" s="1">
        <v>352</v>
      </c>
      <c r="H288" s="1">
        <v>0.04</v>
      </c>
      <c r="I288" s="1" t="s">
        <v>30</v>
      </c>
    </row>
    <row r="289" spans="1:9" x14ac:dyDescent="0.3">
      <c r="A289" s="1" t="s">
        <v>318</v>
      </c>
      <c r="B289" s="1" t="s">
        <v>22</v>
      </c>
      <c r="C289" s="2">
        <v>43307</v>
      </c>
      <c r="D289" s="1" t="s">
        <v>10</v>
      </c>
      <c r="E289" s="1">
        <v>8</v>
      </c>
      <c r="F289" s="1">
        <v>80</v>
      </c>
      <c r="G289" s="1">
        <v>640</v>
      </c>
      <c r="H289" s="1">
        <v>0.02</v>
      </c>
      <c r="I289" s="1" t="s">
        <v>33</v>
      </c>
    </row>
    <row r="290" spans="1:9" x14ac:dyDescent="0.3">
      <c r="A290" s="1" t="s">
        <v>319</v>
      </c>
      <c r="B290" s="1" t="s">
        <v>13</v>
      </c>
      <c r="C290" s="2">
        <v>43307</v>
      </c>
      <c r="D290" s="1" t="s">
        <v>29</v>
      </c>
      <c r="E290" s="1">
        <v>4</v>
      </c>
      <c r="F290" s="1">
        <v>16</v>
      </c>
      <c r="G290" s="1">
        <v>64</v>
      </c>
      <c r="H290" s="1">
        <v>0.09</v>
      </c>
      <c r="I290" s="1" t="s">
        <v>35</v>
      </c>
    </row>
    <row r="291" spans="1:9" x14ac:dyDescent="0.3">
      <c r="A291" s="1" t="s">
        <v>320</v>
      </c>
      <c r="B291" s="1" t="s">
        <v>25</v>
      </c>
      <c r="C291" s="2">
        <v>43307</v>
      </c>
      <c r="D291" s="1" t="s">
        <v>14</v>
      </c>
      <c r="E291" s="1">
        <v>11</v>
      </c>
      <c r="F291" s="1">
        <v>40</v>
      </c>
      <c r="G291" s="1">
        <v>440</v>
      </c>
      <c r="H291" s="1">
        <v>0.09</v>
      </c>
      <c r="I291" s="1" t="s">
        <v>37</v>
      </c>
    </row>
    <row r="292" spans="1:9" x14ac:dyDescent="0.3">
      <c r="A292" s="1" t="s">
        <v>321</v>
      </c>
      <c r="B292" s="1" t="s">
        <v>22</v>
      </c>
      <c r="C292" s="2">
        <v>43307</v>
      </c>
      <c r="D292" s="1" t="s">
        <v>17</v>
      </c>
      <c r="E292" s="1">
        <v>18</v>
      </c>
      <c r="F292" s="1">
        <v>230</v>
      </c>
      <c r="G292" s="1">
        <v>4140</v>
      </c>
      <c r="H292" s="1">
        <v>0.01</v>
      </c>
      <c r="I292" s="1" t="s">
        <v>39</v>
      </c>
    </row>
    <row r="293" spans="1:9" x14ac:dyDescent="0.3">
      <c r="A293" s="1" t="s">
        <v>322</v>
      </c>
      <c r="B293" s="1" t="s">
        <v>13</v>
      </c>
      <c r="C293" s="2">
        <v>43308</v>
      </c>
      <c r="D293" s="1" t="s">
        <v>17</v>
      </c>
      <c r="E293" s="1">
        <v>11</v>
      </c>
      <c r="F293" s="1">
        <v>230</v>
      </c>
      <c r="G293" s="1">
        <v>2530</v>
      </c>
      <c r="H293" s="1">
        <v>0.1</v>
      </c>
      <c r="I293" s="1" t="s">
        <v>41</v>
      </c>
    </row>
    <row r="294" spans="1:9" x14ac:dyDescent="0.3">
      <c r="A294" s="1" t="s">
        <v>323</v>
      </c>
      <c r="B294" s="1" t="s">
        <v>9</v>
      </c>
      <c r="C294" s="2">
        <v>43308</v>
      </c>
      <c r="D294" s="1" t="s">
        <v>17</v>
      </c>
      <c r="E294" s="1">
        <v>15</v>
      </c>
      <c r="F294" s="1">
        <v>230</v>
      </c>
      <c r="G294" s="1">
        <v>3450</v>
      </c>
      <c r="H294" s="1">
        <v>0.05</v>
      </c>
      <c r="I294" s="1" t="s">
        <v>11</v>
      </c>
    </row>
    <row r="295" spans="1:9" x14ac:dyDescent="0.3">
      <c r="A295" s="1" t="s">
        <v>324</v>
      </c>
      <c r="B295" s="1" t="s">
        <v>28</v>
      </c>
      <c r="C295" s="2">
        <v>43308</v>
      </c>
      <c r="D295" s="1" t="s">
        <v>14</v>
      </c>
      <c r="E295" s="1">
        <v>7</v>
      </c>
      <c r="F295" s="1">
        <v>40</v>
      </c>
      <c r="G295" s="1">
        <v>280</v>
      </c>
      <c r="H295" s="1">
        <v>0.04</v>
      </c>
      <c r="I295" s="1" t="s">
        <v>15</v>
      </c>
    </row>
    <row r="296" spans="1:9" x14ac:dyDescent="0.3">
      <c r="A296" s="1" t="s">
        <v>325</v>
      </c>
      <c r="B296" s="1" t="s">
        <v>22</v>
      </c>
      <c r="C296" s="2">
        <v>43308</v>
      </c>
      <c r="D296" s="1" t="s">
        <v>32</v>
      </c>
      <c r="E296" s="1">
        <v>20</v>
      </c>
      <c r="F296" s="1">
        <v>150</v>
      </c>
      <c r="G296" s="1">
        <v>3000</v>
      </c>
      <c r="H296" s="1">
        <v>0.12</v>
      </c>
      <c r="I296" s="1" t="s">
        <v>18</v>
      </c>
    </row>
    <row r="297" spans="1:9" x14ac:dyDescent="0.3">
      <c r="A297" s="1" t="s">
        <v>326</v>
      </c>
      <c r="B297" s="1" t="s">
        <v>22</v>
      </c>
      <c r="C297" s="2">
        <v>43308</v>
      </c>
      <c r="D297" s="1" t="s">
        <v>10</v>
      </c>
      <c r="E297" s="1">
        <v>5</v>
      </c>
      <c r="F297" s="1">
        <v>80</v>
      </c>
      <c r="G297" s="1">
        <v>400</v>
      </c>
      <c r="H297" s="1">
        <v>0.09</v>
      </c>
      <c r="I297" s="1" t="s">
        <v>46</v>
      </c>
    </row>
    <row r="298" spans="1:9" x14ac:dyDescent="0.3">
      <c r="A298" s="1" t="s">
        <v>327</v>
      </c>
      <c r="B298" s="1" t="s">
        <v>25</v>
      </c>
      <c r="C298" s="2">
        <v>43308</v>
      </c>
      <c r="D298" s="1" t="s">
        <v>10</v>
      </c>
      <c r="E298" s="1">
        <v>14</v>
      </c>
      <c r="F298" s="1">
        <v>80</v>
      </c>
      <c r="G298" s="1">
        <v>1120</v>
      </c>
      <c r="H298" s="1">
        <v>0.05</v>
      </c>
      <c r="I298" s="1" t="s">
        <v>23</v>
      </c>
    </row>
    <row r="299" spans="1:9" x14ac:dyDescent="0.3">
      <c r="A299" s="1" t="s">
        <v>328</v>
      </c>
      <c r="B299" s="1" t="s">
        <v>25</v>
      </c>
      <c r="C299" s="2">
        <v>43308</v>
      </c>
      <c r="D299" s="1" t="s">
        <v>17</v>
      </c>
      <c r="E299" s="1">
        <v>7</v>
      </c>
      <c r="F299" s="1">
        <v>230</v>
      </c>
      <c r="G299" s="1">
        <v>1610</v>
      </c>
      <c r="H299" s="1">
        <v>0.06</v>
      </c>
      <c r="I299" s="1" t="s">
        <v>26</v>
      </c>
    </row>
    <row r="300" spans="1:9" x14ac:dyDescent="0.3">
      <c r="A300" s="1" t="s">
        <v>329</v>
      </c>
      <c r="B300" s="1" t="s">
        <v>25</v>
      </c>
      <c r="C300" s="2">
        <v>43308</v>
      </c>
      <c r="D300" s="1" t="s">
        <v>14</v>
      </c>
      <c r="E300" s="1">
        <v>13</v>
      </c>
      <c r="F300" s="1">
        <v>40</v>
      </c>
      <c r="G300" s="1">
        <v>520</v>
      </c>
      <c r="H300" s="1">
        <v>0.06</v>
      </c>
      <c r="I300" s="1" t="s">
        <v>30</v>
      </c>
    </row>
    <row r="301" spans="1:9" x14ac:dyDescent="0.3">
      <c r="A301" s="1" t="s">
        <v>330</v>
      </c>
      <c r="B301" s="1" t="s">
        <v>13</v>
      </c>
      <c r="C301" s="2">
        <v>43309</v>
      </c>
      <c r="D301" s="1" t="s">
        <v>29</v>
      </c>
      <c r="E301" s="1">
        <v>15</v>
      </c>
      <c r="F301" s="1">
        <v>16</v>
      </c>
      <c r="G301" s="1">
        <v>240</v>
      </c>
      <c r="H301" s="1">
        <v>0.02</v>
      </c>
      <c r="I301" s="1" t="s">
        <v>33</v>
      </c>
    </row>
    <row r="302" spans="1:9" x14ac:dyDescent="0.3">
      <c r="A302" s="1" t="s">
        <v>331</v>
      </c>
      <c r="B302" s="1" t="s">
        <v>25</v>
      </c>
      <c r="C302" s="2">
        <v>43309</v>
      </c>
      <c r="D302" s="1" t="s">
        <v>29</v>
      </c>
      <c r="E302" s="1">
        <v>5</v>
      </c>
      <c r="F302" s="1">
        <v>16</v>
      </c>
      <c r="G302" s="1">
        <v>80</v>
      </c>
      <c r="H302" s="1">
        <v>0.09</v>
      </c>
      <c r="I302" s="1" t="s">
        <v>35</v>
      </c>
    </row>
    <row r="303" spans="1:9" x14ac:dyDescent="0.3">
      <c r="A303" s="1" t="s">
        <v>332</v>
      </c>
      <c r="B303" s="1" t="s">
        <v>9</v>
      </c>
      <c r="C303" s="2">
        <v>43309</v>
      </c>
      <c r="D303" s="1" t="s">
        <v>29</v>
      </c>
      <c r="E303" s="1">
        <v>22</v>
      </c>
      <c r="F303" s="1">
        <v>16</v>
      </c>
      <c r="G303" s="1">
        <v>352</v>
      </c>
      <c r="H303" s="1">
        <v>0.06</v>
      </c>
      <c r="I303" s="1" t="s">
        <v>37</v>
      </c>
    </row>
    <row r="304" spans="1:9" x14ac:dyDescent="0.3">
      <c r="A304" s="1" t="s">
        <v>333</v>
      </c>
      <c r="B304" s="1" t="s">
        <v>22</v>
      </c>
      <c r="C304" s="2">
        <v>43309</v>
      </c>
      <c r="D304" s="1" t="s">
        <v>32</v>
      </c>
      <c r="E304" s="1">
        <v>15</v>
      </c>
      <c r="F304" s="1">
        <v>150</v>
      </c>
      <c r="G304" s="1">
        <v>2250</v>
      </c>
      <c r="H304" s="1">
        <v>0.05</v>
      </c>
      <c r="I304" s="1" t="s">
        <v>39</v>
      </c>
    </row>
    <row r="305" spans="1:9" x14ac:dyDescent="0.3">
      <c r="A305" s="1" t="s">
        <v>334</v>
      </c>
      <c r="B305" s="1" t="s">
        <v>22</v>
      </c>
      <c r="C305" s="2">
        <v>43309</v>
      </c>
      <c r="D305" s="1" t="s">
        <v>17</v>
      </c>
      <c r="E305" s="1">
        <v>5</v>
      </c>
      <c r="F305" s="1">
        <v>230</v>
      </c>
      <c r="G305" s="1">
        <v>1150</v>
      </c>
      <c r="H305" s="1">
        <v>0.01</v>
      </c>
      <c r="I305" s="1" t="s">
        <v>41</v>
      </c>
    </row>
    <row r="306" spans="1:9" x14ac:dyDescent="0.3">
      <c r="A306" s="1" t="s">
        <v>335</v>
      </c>
      <c r="B306" s="1" t="s">
        <v>9</v>
      </c>
      <c r="C306" s="2">
        <v>43309</v>
      </c>
      <c r="D306" s="1" t="s">
        <v>14</v>
      </c>
      <c r="E306" s="1">
        <v>11</v>
      </c>
      <c r="F306" s="1">
        <v>40</v>
      </c>
      <c r="G306" s="1">
        <v>440</v>
      </c>
      <c r="H306" s="1">
        <v>0.04</v>
      </c>
      <c r="I306" s="1" t="s">
        <v>11</v>
      </c>
    </row>
    <row r="307" spans="1:9" x14ac:dyDescent="0.3">
      <c r="A307" s="1" t="s">
        <v>336</v>
      </c>
      <c r="B307" s="1" t="s">
        <v>13</v>
      </c>
      <c r="C307" s="2">
        <v>43309</v>
      </c>
      <c r="D307" s="1" t="s">
        <v>32</v>
      </c>
      <c r="E307" s="1">
        <v>13</v>
      </c>
      <c r="F307" s="1">
        <v>150</v>
      </c>
      <c r="G307" s="1">
        <v>1950</v>
      </c>
      <c r="H307" s="1">
        <v>0.08</v>
      </c>
      <c r="I307" s="1" t="s">
        <v>15</v>
      </c>
    </row>
    <row r="308" spans="1:9" x14ac:dyDescent="0.3">
      <c r="A308" s="1" t="s">
        <v>337</v>
      </c>
      <c r="B308" s="1" t="s">
        <v>28</v>
      </c>
      <c r="C308" s="2">
        <v>43309</v>
      </c>
      <c r="D308" s="1" t="s">
        <v>29</v>
      </c>
      <c r="E308" s="1">
        <v>13</v>
      </c>
      <c r="F308" s="1">
        <v>16</v>
      </c>
      <c r="G308" s="1">
        <v>208</v>
      </c>
      <c r="H308" s="1">
        <v>7.0000000000000007E-2</v>
      </c>
      <c r="I308" s="1" t="s">
        <v>18</v>
      </c>
    </row>
    <row r="309" spans="1:9" x14ac:dyDescent="0.3">
      <c r="A309" s="1" t="s">
        <v>338</v>
      </c>
      <c r="B309" s="1" t="s">
        <v>28</v>
      </c>
      <c r="C309" s="2">
        <v>43309</v>
      </c>
      <c r="D309" s="1" t="s">
        <v>29</v>
      </c>
      <c r="E309" s="1">
        <v>3</v>
      </c>
      <c r="F309" s="1">
        <v>16</v>
      </c>
      <c r="G309" s="1">
        <v>48</v>
      </c>
      <c r="H309" s="1">
        <v>0.03</v>
      </c>
      <c r="I309" s="1" t="s">
        <v>46</v>
      </c>
    </row>
    <row r="310" spans="1:9" x14ac:dyDescent="0.3">
      <c r="A310" s="1" t="s">
        <v>339</v>
      </c>
      <c r="B310" s="1" t="s">
        <v>13</v>
      </c>
      <c r="C310" s="2">
        <v>43310</v>
      </c>
      <c r="D310" s="1" t="s">
        <v>32</v>
      </c>
      <c r="E310" s="1">
        <v>2</v>
      </c>
      <c r="F310" s="1">
        <v>150</v>
      </c>
      <c r="G310" s="1">
        <v>300</v>
      </c>
      <c r="H310" s="1">
        <v>0.09</v>
      </c>
      <c r="I310" s="1" t="s">
        <v>23</v>
      </c>
    </row>
    <row r="311" spans="1:9" x14ac:dyDescent="0.3">
      <c r="A311" s="1" t="s">
        <v>340</v>
      </c>
      <c r="B311" s="1" t="s">
        <v>22</v>
      </c>
      <c r="C311" s="2">
        <v>43310</v>
      </c>
      <c r="D311" s="1" t="s">
        <v>17</v>
      </c>
      <c r="E311" s="1">
        <v>14</v>
      </c>
      <c r="F311" s="1">
        <v>230</v>
      </c>
      <c r="G311" s="1">
        <v>3220</v>
      </c>
      <c r="H311" s="1">
        <v>0.03</v>
      </c>
      <c r="I311" s="1" t="s">
        <v>26</v>
      </c>
    </row>
    <row r="312" spans="1:9" x14ac:dyDescent="0.3">
      <c r="A312" s="1" t="s">
        <v>341</v>
      </c>
      <c r="B312" s="1" t="s">
        <v>22</v>
      </c>
      <c r="C312" s="2">
        <v>43310</v>
      </c>
      <c r="D312" s="1" t="s">
        <v>14</v>
      </c>
      <c r="E312" s="1">
        <v>11</v>
      </c>
      <c r="F312" s="1">
        <v>40</v>
      </c>
      <c r="G312" s="1">
        <v>440</v>
      </c>
      <c r="H312" s="1">
        <v>0.12</v>
      </c>
      <c r="I312" s="1" t="s">
        <v>30</v>
      </c>
    </row>
    <row r="313" spans="1:9" x14ac:dyDescent="0.3">
      <c r="A313" s="1" t="s">
        <v>342</v>
      </c>
      <c r="B313" s="1" t="s">
        <v>28</v>
      </c>
      <c r="C313" s="2">
        <v>43310</v>
      </c>
      <c r="D313" s="1" t="s">
        <v>29</v>
      </c>
      <c r="E313" s="1">
        <v>3</v>
      </c>
      <c r="F313" s="1">
        <v>16</v>
      </c>
      <c r="G313" s="1">
        <v>48</v>
      </c>
      <c r="H313" s="1">
        <v>0.06</v>
      </c>
      <c r="I313" s="1" t="s">
        <v>33</v>
      </c>
    </row>
    <row r="314" spans="1:9" x14ac:dyDescent="0.3">
      <c r="A314" s="1" t="s">
        <v>343</v>
      </c>
      <c r="B314" s="1" t="s">
        <v>28</v>
      </c>
      <c r="C314" s="2">
        <v>43310</v>
      </c>
      <c r="D314" s="1" t="s">
        <v>14</v>
      </c>
      <c r="E314" s="1">
        <v>18</v>
      </c>
      <c r="F314" s="1">
        <v>40</v>
      </c>
      <c r="G314" s="1">
        <v>720</v>
      </c>
      <c r="H314" s="1">
        <v>0.06</v>
      </c>
      <c r="I314" s="1" t="s">
        <v>35</v>
      </c>
    </row>
    <row r="315" spans="1:9" x14ac:dyDescent="0.3">
      <c r="A315" s="1" t="s">
        <v>344</v>
      </c>
      <c r="B315" s="1" t="s">
        <v>28</v>
      </c>
      <c r="C315" s="2">
        <v>43310</v>
      </c>
      <c r="D315" s="1" t="s">
        <v>17</v>
      </c>
      <c r="E315" s="1">
        <v>7</v>
      </c>
      <c r="F315" s="1">
        <v>230</v>
      </c>
      <c r="G315" s="1">
        <v>1610</v>
      </c>
      <c r="H315" s="1">
        <v>0.05</v>
      </c>
      <c r="I315" s="1" t="s">
        <v>37</v>
      </c>
    </row>
    <row r="316" spans="1:9" x14ac:dyDescent="0.3">
      <c r="A316" s="1" t="s">
        <v>345</v>
      </c>
      <c r="B316" s="1" t="s">
        <v>28</v>
      </c>
      <c r="C316" s="2">
        <v>43310</v>
      </c>
      <c r="D316" s="1" t="s">
        <v>14</v>
      </c>
      <c r="E316" s="1">
        <v>23</v>
      </c>
      <c r="F316" s="1">
        <v>40</v>
      </c>
      <c r="G316" s="1">
        <v>920</v>
      </c>
      <c r="H316" s="1">
        <v>0.05</v>
      </c>
      <c r="I316" s="1" t="s">
        <v>39</v>
      </c>
    </row>
    <row r="317" spans="1:9" x14ac:dyDescent="0.3">
      <c r="A317" s="1" t="s">
        <v>346</v>
      </c>
      <c r="B317" s="1" t="s">
        <v>28</v>
      </c>
      <c r="C317" s="2">
        <v>43311</v>
      </c>
      <c r="D317" s="1" t="s">
        <v>17</v>
      </c>
      <c r="E317" s="1">
        <v>2</v>
      </c>
      <c r="F317" s="1">
        <v>230</v>
      </c>
      <c r="G317" s="1">
        <v>460</v>
      </c>
      <c r="H317" s="1">
        <v>0.08</v>
      </c>
      <c r="I317" s="1" t="s">
        <v>41</v>
      </c>
    </row>
    <row r="318" spans="1:9" x14ac:dyDescent="0.3">
      <c r="A318" s="1" t="s">
        <v>347</v>
      </c>
      <c r="B318" s="1" t="s">
        <v>25</v>
      </c>
      <c r="C318" s="2">
        <v>43311</v>
      </c>
      <c r="D318" s="1" t="s">
        <v>14</v>
      </c>
      <c r="E318" s="1">
        <v>18</v>
      </c>
      <c r="F318" s="1">
        <v>40</v>
      </c>
      <c r="G318" s="1">
        <v>720</v>
      </c>
      <c r="H318" s="1">
        <v>0.04</v>
      </c>
      <c r="I318" s="1" t="s">
        <v>11</v>
      </c>
    </row>
    <row r="319" spans="1:9" x14ac:dyDescent="0.3">
      <c r="A319" s="1" t="s">
        <v>348</v>
      </c>
      <c r="B319" s="1" t="s">
        <v>13</v>
      </c>
      <c r="C319" s="2">
        <v>43311</v>
      </c>
      <c r="D319" s="1" t="s">
        <v>17</v>
      </c>
      <c r="E319" s="1">
        <v>7</v>
      </c>
      <c r="F319" s="1">
        <v>230</v>
      </c>
      <c r="G319" s="1">
        <v>1610</v>
      </c>
      <c r="H319" s="1">
        <v>0.05</v>
      </c>
      <c r="I319" s="1" t="s">
        <v>15</v>
      </c>
    </row>
    <row r="320" spans="1:9" x14ac:dyDescent="0.3">
      <c r="A320" s="1" t="s">
        <v>349</v>
      </c>
      <c r="B320" s="1" t="s">
        <v>28</v>
      </c>
      <c r="C320" s="2">
        <v>43311</v>
      </c>
      <c r="D320" s="1" t="s">
        <v>14</v>
      </c>
      <c r="E320" s="1">
        <v>14</v>
      </c>
      <c r="F320" s="1">
        <v>40</v>
      </c>
      <c r="G320" s="1">
        <v>560</v>
      </c>
      <c r="H320" s="1">
        <v>0.11</v>
      </c>
      <c r="I320" s="1" t="s">
        <v>18</v>
      </c>
    </row>
    <row r="321" spans="1:9" x14ac:dyDescent="0.3">
      <c r="A321" s="1" t="s">
        <v>350</v>
      </c>
      <c r="B321" s="1" t="s">
        <v>13</v>
      </c>
      <c r="C321" s="2">
        <v>43311</v>
      </c>
      <c r="D321" s="1" t="s">
        <v>32</v>
      </c>
      <c r="E321" s="1">
        <v>13</v>
      </c>
      <c r="F321" s="1">
        <v>150</v>
      </c>
      <c r="G321" s="1">
        <v>1950</v>
      </c>
      <c r="H321" s="1">
        <v>0.02</v>
      </c>
      <c r="I321" s="1" t="s">
        <v>46</v>
      </c>
    </row>
    <row r="322" spans="1:9" x14ac:dyDescent="0.3">
      <c r="A322" s="1" t="s">
        <v>351</v>
      </c>
      <c r="B322" s="1" t="s">
        <v>9</v>
      </c>
      <c r="C322" s="2">
        <v>43311</v>
      </c>
      <c r="D322" s="1" t="s">
        <v>10</v>
      </c>
      <c r="E322" s="1">
        <v>12</v>
      </c>
      <c r="F322" s="1">
        <v>80</v>
      </c>
      <c r="G322" s="1">
        <v>960</v>
      </c>
      <c r="H322" s="1">
        <v>0.04</v>
      </c>
      <c r="I322" s="1" t="s">
        <v>23</v>
      </c>
    </row>
    <row r="323" spans="1:9" x14ac:dyDescent="0.3">
      <c r="A323" s="1" t="s">
        <v>352</v>
      </c>
      <c r="B323" s="1" t="s">
        <v>28</v>
      </c>
      <c r="C323" s="2">
        <v>43311</v>
      </c>
      <c r="D323" s="1" t="s">
        <v>17</v>
      </c>
      <c r="E323" s="1">
        <v>20</v>
      </c>
      <c r="F323" s="1">
        <v>230</v>
      </c>
      <c r="G323" s="1">
        <v>4600</v>
      </c>
      <c r="H323" s="1">
        <v>0.09</v>
      </c>
      <c r="I323" s="1" t="s">
        <v>26</v>
      </c>
    </row>
    <row r="324" spans="1:9" x14ac:dyDescent="0.3">
      <c r="A324" s="1" t="s">
        <v>353</v>
      </c>
      <c r="B324" s="1" t="s">
        <v>28</v>
      </c>
      <c r="C324" s="2">
        <v>43311</v>
      </c>
      <c r="D324" s="1" t="s">
        <v>14</v>
      </c>
      <c r="E324" s="1">
        <v>5</v>
      </c>
      <c r="F324" s="1">
        <v>40</v>
      </c>
      <c r="G324" s="1">
        <v>200</v>
      </c>
      <c r="H324" s="1">
        <v>0.03</v>
      </c>
      <c r="I324" s="1" t="s">
        <v>30</v>
      </c>
    </row>
    <row r="325" spans="1:9" x14ac:dyDescent="0.3">
      <c r="A325" s="1" t="s">
        <v>354</v>
      </c>
      <c r="B325" s="1" t="s">
        <v>28</v>
      </c>
      <c r="C325" s="2">
        <v>43311</v>
      </c>
      <c r="D325" s="1" t="s">
        <v>29</v>
      </c>
      <c r="E325" s="1">
        <v>2</v>
      </c>
      <c r="F325" s="1">
        <v>16</v>
      </c>
      <c r="G325" s="1">
        <v>32</v>
      </c>
      <c r="H325" s="1">
        <v>0.04</v>
      </c>
      <c r="I325" s="1" t="s">
        <v>33</v>
      </c>
    </row>
    <row r="326" spans="1:9" x14ac:dyDescent="0.3">
      <c r="A326" s="1" t="s">
        <v>355</v>
      </c>
      <c r="B326" s="1" t="s">
        <v>22</v>
      </c>
      <c r="C326" s="2">
        <v>43282</v>
      </c>
      <c r="D326" s="1" t="s">
        <v>10</v>
      </c>
      <c r="E326" s="1">
        <v>10</v>
      </c>
      <c r="F326" s="1">
        <v>80</v>
      </c>
      <c r="G326" s="1">
        <v>800</v>
      </c>
      <c r="H326" s="1">
        <v>0.08</v>
      </c>
      <c r="I326" s="1" t="s">
        <v>35</v>
      </c>
    </row>
    <row r="327" spans="1:9" x14ac:dyDescent="0.3">
      <c r="A327" s="1" t="s">
        <v>356</v>
      </c>
      <c r="B327" s="1" t="s">
        <v>25</v>
      </c>
      <c r="C327" s="2">
        <v>43282</v>
      </c>
      <c r="D327" s="1" t="s">
        <v>14</v>
      </c>
      <c r="E327" s="1">
        <v>18</v>
      </c>
      <c r="F327" s="1">
        <v>40</v>
      </c>
      <c r="G327" s="1">
        <v>720</v>
      </c>
      <c r="H327" s="1">
        <v>0.06</v>
      </c>
      <c r="I327" s="1" t="s">
        <v>37</v>
      </c>
    </row>
    <row r="328" spans="1:9" x14ac:dyDescent="0.3">
      <c r="A328" s="1" t="s">
        <v>357</v>
      </c>
      <c r="B328" s="1" t="s">
        <v>13</v>
      </c>
      <c r="C328" s="2">
        <v>43282</v>
      </c>
      <c r="D328" s="1" t="s">
        <v>17</v>
      </c>
      <c r="E328" s="1">
        <v>7</v>
      </c>
      <c r="F328" s="1">
        <v>230</v>
      </c>
      <c r="G328" s="1">
        <v>1610</v>
      </c>
      <c r="H328" s="1">
        <v>0.08</v>
      </c>
      <c r="I328" s="1" t="s">
        <v>39</v>
      </c>
    </row>
    <row r="329" spans="1:9" x14ac:dyDescent="0.3">
      <c r="A329" s="1" t="s">
        <v>358</v>
      </c>
      <c r="B329" s="1" t="s">
        <v>25</v>
      </c>
      <c r="C329" s="2">
        <v>43282</v>
      </c>
      <c r="D329" s="1" t="s">
        <v>14</v>
      </c>
      <c r="E329" s="1">
        <v>15</v>
      </c>
      <c r="F329" s="1">
        <v>40</v>
      </c>
      <c r="G329" s="1">
        <v>600</v>
      </c>
      <c r="H329" s="1">
        <v>0.03</v>
      </c>
      <c r="I329" s="1" t="s">
        <v>41</v>
      </c>
    </row>
    <row r="330" spans="1:9" x14ac:dyDescent="0.3">
      <c r="A330" s="1" t="s">
        <v>359</v>
      </c>
      <c r="B330" s="1" t="s">
        <v>22</v>
      </c>
      <c r="C330" s="2">
        <v>43282</v>
      </c>
      <c r="D330" s="1" t="s">
        <v>29</v>
      </c>
      <c r="E330" s="1">
        <v>6</v>
      </c>
      <c r="F330" s="1">
        <v>16</v>
      </c>
      <c r="G330" s="1">
        <v>96</v>
      </c>
      <c r="H330" s="1">
        <v>0.01</v>
      </c>
      <c r="I330" s="1" t="s">
        <v>11</v>
      </c>
    </row>
    <row r="331" spans="1:9" x14ac:dyDescent="0.3">
      <c r="A331" s="1" t="s">
        <v>360</v>
      </c>
      <c r="B331" s="1" t="s">
        <v>25</v>
      </c>
      <c r="C331" s="2">
        <v>43282</v>
      </c>
      <c r="D331" s="1" t="s">
        <v>32</v>
      </c>
      <c r="E331" s="1">
        <v>9</v>
      </c>
      <c r="F331" s="1">
        <v>150</v>
      </c>
      <c r="G331" s="1">
        <v>1350</v>
      </c>
      <c r="H331" s="1">
        <v>0.02</v>
      </c>
      <c r="I331" s="1" t="s">
        <v>15</v>
      </c>
    </row>
    <row r="332" spans="1:9" x14ac:dyDescent="0.3">
      <c r="A332" s="1" t="s">
        <v>361</v>
      </c>
      <c r="B332" s="1" t="s">
        <v>28</v>
      </c>
      <c r="C332" s="2">
        <v>43282</v>
      </c>
      <c r="D332" s="1" t="s">
        <v>29</v>
      </c>
      <c r="E332" s="1">
        <v>15</v>
      </c>
      <c r="F332" s="1">
        <v>16</v>
      </c>
      <c r="G332" s="1">
        <v>240</v>
      </c>
      <c r="H332" s="1">
        <v>0.01</v>
      </c>
      <c r="I332" s="1" t="s">
        <v>18</v>
      </c>
    </row>
    <row r="333" spans="1:9" x14ac:dyDescent="0.3">
      <c r="A333" s="1" t="s">
        <v>362</v>
      </c>
      <c r="B333" s="1" t="s">
        <v>28</v>
      </c>
      <c r="C333" s="2">
        <v>43282</v>
      </c>
      <c r="D333" s="1" t="s">
        <v>10</v>
      </c>
      <c r="E333" s="1">
        <v>22</v>
      </c>
      <c r="F333" s="1">
        <v>80</v>
      </c>
      <c r="G333" s="1">
        <v>1760</v>
      </c>
      <c r="H333" s="1">
        <v>0.11</v>
      </c>
      <c r="I333" s="1" t="s">
        <v>46</v>
      </c>
    </row>
    <row r="334" spans="1:9" x14ac:dyDescent="0.3">
      <c r="A334" s="1" t="s">
        <v>363</v>
      </c>
      <c r="B334" s="1" t="s">
        <v>13</v>
      </c>
      <c r="C334" s="2">
        <v>43282</v>
      </c>
      <c r="D334" s="1" t="s">
        <v>32</v>
      </c>
      <c r="E334" s="1">
        <v>13</v>
      </c>
      <c r="F334" s="1">
        <v>150</v>
      </c>
      <c r="G334" s="1">
        <v>1950</v>
      </c>
      <c r="H334" s="1">
        <v>0.02</v>
      </c>
      <c r="I334" s="1" t="s">
        <v>23</v>
      </c>
    </row>
    <row r="335" spans="1:9" x14ac:dyDescent="0.3">
      <c r="A335" s="1" t="s">
        <v>364</v>
      </c>
      <c r="B335" s="1" t="s">
        <v>22</v>
      </c>
      <c r="C335" s="2">
        <v>43283</v>
      </c>
      <c r="D335" s="1" t="s">
        <v>29</v>
      </c>
      <c r="E335" s="1">
        <v>12</v>
      </c>
      <c r="F335" s="1">
        <v>16</v>
      </c>
      <c r="G335" s="1">
        <v>192</v>
      </c>
      <c r="H335" s="1">
        <v>0.03</v>
      </c>
      <c r="I335" s="1" t="s">
        <v>26</v>
      </c>
    </row>
    <row r="336" spans="1:9" x14ac:dyDescent="0.3">
      <c r="A336" s="1" t="s">
        <v>365</v>
      </c>
      <c r="B336" s="1" t="s">
        <v>25</v>
      </c>
      <c r="C336" s="2">
        <v>43283</v>
      </c>
      <c r="D336" s="1" t="s">
        <v>14</v>
      </c>
      <c r="E336" s="1">
        <v>4</v>
      </c>
      <c r="F336" s="1">
        <v>40</v>
      </c>
      <c r="G336" s="1">
        <v>160</v>
      </c>
      <c r="H336" s="1">
        <v>0.05</v>
      </c>
      <c r="I336" s="1" t="s">
        <v>30</v>
      </c>
    </row>
    <row r="337" spans="1:9" x14ac:dyDescent="0.3">
      <c r="A337" s="1" t="s">
        <v>366</v>
      </c>
      <c r="B337" s="1" t="s">
        <v>13</v>
      </c>
      <c r="C337" s="2">
        <v>43283</v>
      </c>
      <c r="D337" s="1" t="s">
        <v>17</v>
      </c>
      <c r="E337" s="1">
        <v>19</v>
      </c>
      <c r="F337" s="1">
        <v>230</v>
      </c>
      <c r="G337" s="1">
        <v>4370</v>
      </c>
      <c r="H337" s="1">
        <v>0.11</v>
      </c>
      <c r="I337" s="1" t="s">
        <v>33</v>
      </c>
    </row>
    <row r="338" spans="1:9" x14ac:dyDescent="0.3">
      <c r="A338" s="1" t="s">
        <v>367</v>
      </c>
      <c r="B338" s="1" t="s">
        <v>13</v>
      </c>
      <c r="C338" s="2">
        <v>43283</v>
      </c>
      <c r="D338" s="1" t="s">
        <v>14</v>
      </c>
      <c r="E338" s="1">
        <v>4</v>
      </c>
      <c r="F338" s="1">
        <v>40</v>
      </c>
      <c r="G338" s="1">
        <v>160</v>
      </c>
      <c r="H338" s="1">
        <v>0.06</v>
      </c>
      <c r="I338" s="1" t="s">
        <v>35</v>
      </c>
    </row>
    <row r="339" spans="1:9" x14ac:dyDescent="0.3">
      <c r="A339" s="1" t="s">
        <v>368</v>
      </c>
      <c r="B339" s="1" t="s">
        <v>22</v>
      </c>
      <c r="C339" s="2">
        <v>43283</v>
      </c>
      <c r="D339" s="1" t="s">
        <v>29</v>
      </c>
      <c r="E339" s="1">
        <v>6</v>
      </c>
      <c r="F339" s="1">
        <v>16</v>
      </c>
      <c r="G339" s="1">
        <v>96</v>
      </c>
      <c r="H339" s="1">
        <v>7.0000000000000007E-2</v>
      </c>
      <c r="I339" s="1" t="s">
        <v>37</v>
      </c>
    </row>
    <row r="340" spans="1:9" x14ac:dyDescent="0.3">
      <c r="A340" s="1" t="s">
        <v>369</v>
      </c>
      <c r="B340" s="1" t="s">
        <v>22</v>
      </c>
      <c r="C340" s="2">
        <v>43283</v>
      </c>
      <c r="D340" s="1" t="s">
        <v>17</v>
      </c>
      <c r="E340" s="1">
        <v>15</v>
      </c>
      <c r="F340" s="1">
        <v>230</v>
      </c>
      <c r="G340" s="1">
        <v>3450</v>
      </c>
      <c r="H340" s="1">
        <v>0.11</v>
      </c>
      <c r="I340" s="1" t="s">
        <v>39</v>
      </c>
    </row>
    <row r="341" spans="1:9" x14ac:dyDescent="0.3">
      <c r="A341" s="1" t="s">
        <v>370</v>
      </c>
      <c r="B341" s="1" t="s">
        <v>22</v>
      </c>
      <c r="C341" s="2">
        <v>43283</v>
      </c>
      <c r="D341" s="1" t="s">
        <v>10</v>
      </c>
      <c r="E341" s="1">
        <v>16</v>
      </c>
      <c r="F341" s="1">
        <v>80</v>
      </c>
      <c r="G341" s="1">
        <v>1280</v>
      </c>
      <c r="H341" s="1">
        <v>0.04</v>
      </c>
      <c r="I341" s="1" t="s">
        <v>41</v>
      </c>
    </row>
    <row r="342" spans="1:9" x14ac:dyDescent="0.3">
      <c r="A342" s="1" t="s">
        <v>371</v>
      </c>
      <c r="B342" s="1" t="s">
        <v>9</v>
      </c>
      <c r="C342" s="2">
        <v>43283</v>
      </c>
      <c r="D342" s="1" t="s">
        <v>14</v>
      </c>
      <c r="E342" s="1">
        <v>7</v>
      </c>
      <c r="F342" s="1">
        <v>40</v>
      </c>
      <c r="G342" s="1">
        <v>280</v>
      </c>
      <c r="H342" s="1">
        <v>0.1</v>
      </c>
      <c r="I342" s="1" t="s">
        <v>11</v>
      </c>
    </row>
    <row r="343" spans="1:9" x14ac:dyDescent="0.3">
      <c r="A343" s="1" t="s">
        <v>372</v>
      </c>
      <c r="B343" s="1" t="s">
        <v>22</v>
      </c>
      <c r="C343" s="2">
        <v>43283</v>
      </c>
      <c r="D343" s="1" t="s">
        <v>14</v>
      </c>
      <c r="E343" s="1">
        <v>11</v>
      </c>
      <c r="F343" s="1">
        <v>40</v>
      </c>
      <c r="G343" s="1">
        <v>440</v>
      </c>
      <c r="H343" s="1">
        <v>0.05</v>
      </c>
      <c r="I343" s="1" t="s">
        <v>15</v>
      </c>
    </row>
    <row r="344" spans="1:9" x14ac:dyDescent="0.3">
      <c r="A344" s="1" t="s">
        <v>373</v>
      </c>
      <c r="B344" s="1" t="s">
        <v>28</v>
      </c>
      <c r="C344" s="2">
        <v>43283</v>
      </c>
      <c r="D344" s="1" t="s">
        <v>10</v>
      </c>
      <c r="E344" s="1">
        <v>9</v>
      </c>
      <c r="F344" s="1">
        <v>80</v>
      </c>
      <c r="G344" s="1">
        <v>720</v>
      </c>
      <c r="H344" s="1">
        <v>0.06</v>
      </c>
      <c r="I344" s="1" t="s">
        <v>18</v>
      </c>
    </row>
    <row r="345" spans="1:9" x14ac:dyDescent="0.3">
      <c r="A345" s="1" t="s">
        <v>374</v>
      </c>
      <c r="B345" s="1" t="s">
        <v>13</v>
      </c>
      <c r="C345" s="2">
        <v>43283</v>
      </c>
      <c r="D345" s="1" t="s">
        <v>10</v>
      </c>
      <c r="E345" s="1">
        <v>21</v>
      </c>
      <c r="F345" s="1">
        <v>80</v>
      </c>
      <c r="G345" s="1">
        <v>1680</v>
      </c>
      <c r="H345" s="1">
        <v>0.04</v>
      </c>
      <c r="I345" s="1" t="s">
        <v>46</v>
      </c>
    </row>
    <row r="346" spans="1:9" x14ac:dyDescent="0.3">
      <c r="A346" s="1" t="s">
        <v>375</v>
      </c>
      <c r="B346" s="1" t="s">
        <v>22</v>
      </c>
      <c r="C346" s="2">
        <v>43283</v>
      </c>
      <c r="D346" s="1" t="s">
        <v>14</v>
      </c>
      <c r="E346" s="1">
        <v>2</v>
      </c>
      <c r="F346" s="1">
        <v>40</v>
      </c>
      <c r="G346" s="1">
        <v>80</v>
      </c>
      <c r="H346" s="1">
        <v>0.03</v>
      </c>
      <c r="I346" s="1" t="s">
        <v>23</v>
      </c>
    </row>
    <row r="347" spans="1:9" x14ac:dyDescent="0.3">
      <c r="A347" s="1" t="s">
        <v>376</v>
      </c>
      <c r="B347" s="1" t="s">
        <v>22</v>
      </c>
      <c r="C347" s="2">
        <v>43284</v>
      </c>
      <c r="D347" s="1" t="s">
        <v>29</v>
      </c>
      <c r="E347" s="1">
        <v>17</v>
      </c>
      <c r="F347" s="1">
        <v>16</v>
      </c>
      <c r="G347" s="1">
        <v>272</v>
      </c>
      <c r="H347" s="1">
        <v>0.05</v>
      </c>
      <c r="I347" s="1" t="s">
        <v>26</v>
      </c>
    </row>
    <row r="348" spans="1:9" x14ac:dyDescent="0.3">
      <c r="A348" s="1" t="s">
        <v>377</v>
      </c>
      <c r="B348" s="1" t="s">
        <v>9</v>
      </c>
      <c r="C348" s="2">
        <v>43284</v>
      </c>
      <c r="D348" s="1" t="s">
        <v>14</v>
      </c>
      <c r="E348" s="1">
        <v>18</v>
      </c>
      <c r="F348" s="1">
        <v>40</v>
      </c>
      <c r="G348" s="1">
        <v>720</v>
      </c>
      <c r="H348" s="1">
        <v>0.06</v>
      </c>
      <c r="I348" s="1" t="s">
        <v>30</v>
      </c>
    </row>
    <row r="349" spans="1:9" x14ac:dyDescent="0.3">
      <c r="A349" s="1" t="s">
        <v>378</v>
      </c>
      <c r="B349" s="1" t="s">
        <v>9</v>
      </c>
      <c r="C349" s="2">
        <v>43284</v>
      </c>
      <c r="D349" s="1" t="s">
        <v>14</v>
      </c>
      <c r="E349" s="1">
        <v>9</v>
      </c>
      <c r="F349" s="1">
        <v>40</v>
      </c>
      <c r="G349" s="1">
        <v>360</v>
      </c>
      <c r="H349" s="1">
        <v>0.01</v>
      </c>
      <c r="I349" s="1" t="s">
        <v>33</v>
      </c>
    </row>
    <row r="350" spans="1:9" x14ac:dyDescent="0.3">
      <c r="A350" s="1" t="s">
        <v>379</v>
      </c>
      <c r="B350" s="1" t="s">
        <v>13</v>
      </c>
      <c r="C350" s="2">
        <v>43284</v>
      </c>
      <c r="D350" s="1" t="s">
        <v>14</v>
      </c>
      <c r="E350" s="1">
        <v>7</v>
      </c>
      <c r="F350" s="1">
        <v>40</v>
      </c>
      <c r="G350" s="1">
        <v>280</v>
      </c>
      <c r="H350" s="1">
        <v>0.01</v>
      </c>
      <c r="I350" s="1" t="s">
        <v>35</v>
      </c>
    </row>
    <row r="351" spans="1:9" x14ac:dyDescent="0.3">
      <c r="A351" s="1" t="s">
        <v>380</v>
      </c>
      <c r="B351" s="1" t="s">
        <v>22</v>
      </c>
      <c r="C351" s="2">
        <v>43284</v>
      </c>
      <c r="D351" s="1" t="s">
        <v>17</v>
      </c>
      <c r="E351" s="1">
        <v>12</v>
      </c>
      <c r="F351" s="1">
        <v>230</v>
      </c>
      <c r="G351" s="1">
        <v>2760</v>
      </c>
      <c r="H351" s="1">
        <v>0.06</v>
      </c>
      <c r="I351" s="1" t="s">
        <v>37</v>
      </c>
    </row>
    <row r="352" spans="1:9" x14ac:dyDescent="0.3">
      <c r="A352" s="1" t="s">
        <v>381</v>
      </c>
      <c r="B352" s="1" t="s">
        <v>13</v>
      </c>
      <c r="C352" s="2">
        <v>43284</v>
      </c>
      <c r="D352" s="1" t="s">
        <v>29</v>
      </c>
      <c r="E352" s="1">
        <v>22</v>
      </c>
      <c r="F352" s="1">
        <v>16</v>
      </c>
      <c r="G352" s="1">
        <v>352</v>
      </c>
      <c r="H352" s="1">
        <v>0.04</v>
      </c>
      <c r="I352" s="1" t="s">
        <v>11</v>
      </c>
    </row>
    <row r="353" spans="1:9" x14ac:dyDescent="0.3">
      <c r="A353" s="1" t="s">
        <v>382</v>
      </c>
      <c r="B353" s="1" t="s">
        <v>9</v>
      </c>
      <c r="C353" s="2">
        <v>43285</v>
      </c>
      <c r="D353" s="1" t="s">
        <v>32</v>
      </c>
      <c r="E353" s="1">
        <v>5</v>
      </c>
      <c r="F353" s="1">
        <v>150</v>
      </c>
      <c r="G353" s="1">
        <v>750</v>
      </c>
      <c r="H353" s="1">
        <v>0.11</v>
      </c>
      <c r="I353" s="1" t="s">
        <v>15</v>
      </c>
    </row>
    <row r="354" spans="1:9" x14ac:dyDescent="0.3">
      <c r="A354" s="1" t="s">
        <v>383</v>
      </c>
      <c r="B354" s="1" t="s">
        <v>13</v>
      </c>
      <c r="C354" s="2">
        <v>43285</v>
      </c>
      <c r="D354" s="1" t="s">
        <v>10</v>
      </c>
      <c r="E354" s="1">
        <v>14</v>
      </c>
      <c r="F354" s="1">
        <v>80</v>
      </c>
      <c r="G354" s="1">
        <v>1120</v>
      </c>
      <c r="H354" s="1">
        <v>0.11</v>
      </c>
      <c r="I354" s="1" t="s">
        <v>18</v>
      </c>
    </row>
    <row r="355" spans="1:9" x14ac:dyDescent="0.3">
      <c r="A355" s="1" t="s">
        <v>384</v>
      </c>
      <c r="B355" s="1" t="s">
        <v>22</v>
      </c>
      <c r="C355" s="2">
        <v>43285</v>
      </c>
      <c r="D355" s="1" t="s">
        <v>29</v>
      </c>
      <c r="E355" s="1">
        <v>8</v>
      </c>
      <c r="F355" s="1">
        <v>16</v>
      </c>
      <c r="G355" s="1">
        <v>128</v>
      </c>
      <c r="H355" s="1">
        <v>0.03</v>
      </c>
      <c r="I355" s="1" t="s">
        <v>46</v>
      </c>
    </row>
    <row r="356" spans="1:9" x14ac:dyDescent="0.3">
      <c r="A356" s="1" t="s">
        <v>385</v>
      </c>
      <c r="B356" s="1" t="s">
        <v>22</v>
      </c>
      <c r="C356" s="2">
        <v>43285</v>
      </c>
      <c r="D356" s="1" t="s">
        <v>17</v>
      </c>
      <c r="E356" s="1">
        <v>6</v>
      </c>
      <c r="F356" s="1">
        <v>230</v>
      </c>
      <c r="G356" s="1">
        <v>1380</v>
      </c>
      <c r="H356" s="1">
        <v>0.05</v>
      </c>
      <c r="I356" s="1" t="s">
        <v>23</v>
      </c>
    </row>
    <row r="357" spans="1:9" x14ac:dyDescent="0.3">
      <c r="A357" s="1" t="s">
        <v>386</v>
      </c>
      <c r="B357" s="1" t="s">
        <v>25</v>
      </c>
      <c r="C357" s="2">
        <v>43285</v>
      </c>
      <c r="D357" s="1" t="s">
        <v>29</v>
      </c>
      <c r="E357" s="1">
        <v>7</v>
      </c>
      <c r="F357" s="1">
        <v>16</v>
      </c>
      <c r="G357" s="1">
        <v>112</v>
      </c>
      <c r="H357" s="1">
        <v>0.08</v>
      </c>
      <c r="I357" s="1" t="s">
        <v>26</v>
      </c>
    </row>
    <row r="358" spans="1:9" x14ac:dyDescent="0.3">
      <c r="A358" s="1" t="s">
        <v>387</v>
      </c>
      <c r="B358" s="1" t="s">
        <v>13</v>
      </c>
      <c r="C358" s="2">
        <v>43285</v>
      </c>
      <c r="D358" s="1" t="s">
        <v>10</v>
      </c>
      <c r="E358" s="1">
        <v>16</v>
      </c>
      <c r="F358" s="1">
        <v>80</v>
      </c>
      <c r="G358" s="1">
        <v>1280</v>
      </c>
      <c r="H358" s="1">
        <v>0.04</v>
      </c>
      <c r="I358" s="1" t="s">
        <v>30</v>
      </c>
    </row>
    <row r="359" spans="1:9" x14ac:dyDescent="0.3">
      <c r="A359" s="1" t="s">
        <v>388</v>
      </c>
      <c r="B359" s="1" t="s">
        <v>9</v>
      </c>
      <c r="C359" s="2">
        <v>43285</v>
      </c>
      <c r="D359" s="1" t="s">
        <v>32</v>
      </c>
      <c r="E359" s="1">
        <v>17</v>
      </c>
      <c r="F359" s="1">
        <v>150</v>
      </c>
      <c r="G359" s="1">
        <v>2550</v>
      </c>
      <c r="H359" s="1">
        <v>0.12</v>
      </c>
      <c r="I359" s="1" t="s">
        <v>33</v>
      </c>
    </row>
    <row r="360" spans="1:9" x14ac:dyDescent="0.3">
      <c r="A360" s="1" t="s">
        <v>389</v>
      </c>
      <c r="B360" s="1" t="s">
        <v>13</v>
      </c>
      <c r="C360" s="2">
        <v>43285</v>
      </c>
      <c r="D360" s="1" t="s">
        <v>29</v>
      </c>
      <c r="E360" s="1">
        <v>7</v>
      </c>
      <c r="F360" s="1">
        <v>16</v>
      </c>
      <c r="G360" s="1">
        <v>112</v>
      </c>
      <c r="H360" s="1">
        <v>0.08</v>
      </c>
      <c r="I360" s="1" t="s">
        <v>35</v>
      </c>
    </row>
    <row r="361" spans="1:9" x14ac:dyDescent="0.3">
      <c r="A361" s="1" t="s">
        <v>390</v>
      </c>
      <c r="B361" s="1" t="s">
        <v>9</v>
      </c>
      <c r="C361" s="2">
        <v>43286</v>
      </c>
      <c r="D361" s="1" t="s">
        <v>29</v>
      </c>
      <c r="E361" s="1">
        <v>21</v>
      </c>
      <c r="F361" s="1">
        <v>16</v>
      </c>
      <c r="G361" s="1">
        <v>336</v>
      </c>
      <c r="H361" s="1">
        <v>0.09</v>
      </c>
      <c r="I361" s="1" t="s">
        <v>37</v>
      </c>
    </row>
    <row r="362" spans="1:9" x14ac:dyDescent="0.3">
      <c r="A362" s="1" t="s">
        <v>391</v>
      </c>
      <c r="B362" s="1" t="s">
        <v>22</v>
      </c>
      <c r="C362" s="2">
        <v>43286</v>
      </c>
      <c r="D362" s="1" t="s">
        <v>29</v>
      </c>
      <c r="E362" s="1">
        <v>23</v>
      </c>
      <c r="F362" s="1">
        <v>16</v>
      </c>
      <c r="G362" s="1">
        <v>368</v>
      </c>
      <c r="H362" s="1">
        <v>0.11</v>
      </c>
      <c r="I362" s="1" t="s">
        <v>39</v>
      </c>
    </row>
    <row r="363" spans="1:9" x14ac:dyDescent="0.3">
      <c r="A363" s="1" t="s">
        <v>392</v>
      </c>
      <c r="B363" s="1" t="s">
        <v>22</v>
      </c>
      <c r="C363" s="2">
        <v>43286</v>
      </c>
      <c r="D363" s="1" t="s">
        <v>32</v>
      </c>
      <c r="E363" s="1">
        <v>2</v>
      </c>
      <c r="F363" s="1">
        <v>150</v>
      </c>
      <c r="G363" s="1">
        <v>300</v>
      </c>
      <c r="H363" s="1">
        <v>0.02</v>
      </c>
      <c r="I363" s="1" t="s">
        <v>41</v>
      </c>
    </row>
    <row r="364" spans="1:9" x14ac:dyDescent="0.3">
      <c r="A364" s="1" t="s">
        <v>393</v>
      </c>
      <c r="B364" s="1" t="s">
        <v>9</v>
      </c>
      <c r="C364" s="2">
        <v>43286</v>
      </c>
      <c r="D364" s="1" t="s">
        <v>32</v>
      </c>
      <c r="E364" s="1">
        <v>22</v>
      </c>
      <c r="F364" s="1">
        <v>150</v>
      </c>
      <c r="G364" s="1">
        <v>3300</v>
      </c>
      <c r="H364" s="1">
        <v>7.0000000000000007E-2</v>
      </c>
      <c r="I364" s="1" t="s">
        <v>11</v>
      </c>
    </row>
    <row r="365" spans="1:9" x14ac:dyDescent="0.3">
      <c r="A365" s="1" t="s">
        <v>394</v>
      </c>
      <c r="B365" s="1" t="s">
        <v>25</v>
      </c>
      <c r="C365" s="2">
        <v>43286</v>
      </c>
      <c r="D365" s="1" t="s">
        <v>14</v>
      </c>
      <c r="E365" s="1">
        <v>22</v>
      </c>
      <c r="F365" s="1">
        <v>40</v>
      </c>
      <c r="G365" s="1">
        <v>880</v>
      </c>
      <c r="H365" s="1">
        <v>0.01</v>
      </c>
      <c r="I365" s="1" t="s">
        <v>15</v>
      </c>
    </row>
    <row r="366" spans="1:9" x14ac:dyDescent="0.3">
      <c r="A366" s="1" t="s">
        <v>395</v>
      </c>
      <c r="B366" s="1" t="s">
        <v>13</v>
      </c>
      <c r="C366" s="2">
        <v>43286</v>
      </c>
      <c r="D366" s="1" t="s">
        <v>10</v>
      </c>
      <c r="E366" s="1">
        <v>10</v>
      </c>
      <c r="F366" s="1">
        <v>80</v>
      </c>
      <c r="G366" s="1">
        <v>800</v>
      </c>
      <c r="H366" s="1">
        <v>0.11</v>
      </c>
      <c r="I366" s="1" t="s">
        <v>18</v>
      </c>
    </row>
    <row r="367" spans="1:9" x14ac:dyDescent="0.3">
      <c r="A367" s="1" t="s">
        <v>396</v>
      </c>
      <c r="B367" s="1" t="s">
        <v>28</v>
      </c>
      <c r="C367" s="2">
        <v>43286</v>
      </c>
      <c r="D367" s="1" t="s">
        <v>10</v>
      </c>
      <c r="E367" s="1">
        <v>13</v>
      </c>
      <c r="F367" s="1">
        <v>80</v>
      </c>
      <c r="G367" s="1">
        <v>1040</v>
      </c>
      <c r="H367" s="1">
        <v>0.05</v>
      </c>
      <c r="I367" s="1" t="s">
        <v>46</v>
      </c>
    </row>
    <row r="368" spans="1:9" x14ac:dyDescent="0.3">
      <c r="A368" s="1" t="s">
        <v>397</v>
      </c>
      <c r="B368" s="1" t="s">
        <v>25</v>
      </c>
      <c r="C368" s="2">
        <v>43286</v>
      </c>
      <c r="D368" s="1" t="s">
        <v>17</v>
      </c>
      <c r="E368" s="1">
        <v>11</v>
      </c>
      <c r="F368" s="1">
        <v>230</v>
      </c>
      <c r="G368" s="1">
        <v>2530</v>
      </c>
      <c r="H368" s="1">
        <v>0.12</v>
      </c>
      <c r="I368" s="1" t="s">
        <v>23</v>
      </c>
    </row>
    <row r="369" spans="1:9" x14ac:dyDescent="0.3">
      <c r="A369" s="1" t="s">
        <v>398</v>
      </c>
      <c r="B369" s="1" t="s">
        <v>9</v>
      </c>
      <c r="C369" s="2">
        <v>43286</v>
      </c>
      <c r="D369" s="1" t="s">
        <v>17</v>
      </c>
      <c r="E369" s="1">
        <v>9</v>
      </c>
      <c r="F369" s="1">
        <v>230</v>
      </c>
      <c r="G369" s="1">
        <v>2070</v>
      </c>
      <c r="H369" s="1">
        <v>7.0000000000000007E-2</v>
      </c>
      <c r="I369" s="1" t="s">
        <v>26</v>
      </c>
    </row>
    <row r="370" spans="1:9" x14ac:dyDescent="0.3">
      <c r="A370" s="1" t="s">
        <v>399</v>
      </c>
      <c r="B370" s="1" t="s">
        <v>25</v>
      </c>
      <c r="C370" s="2">
        <v>43286</v>
      </c>
      <c r="D370" s="1" t="s">
        <v>17</v>
      </c>
      <c r="E370" s="1">
        <v>16</v>
      </c>
      <c r="F370" s="1">
        <v>230</v>
      </c>
      <c r="G370" s="1">
        <v>3680</v>
      </c>
      <c r="H370" s="1">
        <v>0.11</v>
      </c>
      <c r="I370" s="1" t="s">
        <v>30</v>
      </c>
    </row>
    <row r="371" spans="1:9" x14ac:dyDescent="0.3">
      <c r="A371" s="1" t="s">
        <v>400</v>
      </c>
      <c r="B371" s="1" t="s">
        <v>25</v>
      </c>
      <c r="C371" s="2">
        <v>43286</v>
      </c>
      <c r="D371" s="1" t="s">
        <v>17</v>
      </c>
      <c r="E371" s="1">
        <v>18</v>
      </c>
      <c r="F371" s="1">
        <v>230</v>
      </c>
      <c r="G371" s="1">
        <v>4140</v>
      </c>
      <c r="H371" s="1">
        <v>0.01</v>
      </c>
      <c r="I371" s="1" t="s">
        <v>33</v>
      </c>
    </row>
    <row r="372" spans="1:9" x14ac:dyDescent="0.3">
      <c r="A372" s="1" t="s">
        <v>401</v>
      </c>
      <c r="B372" s="1" t="s">
        <v>13</v>
      </c>
      <c r="C372" s="2">
        <v>43286</v>
      </c>
      <c r="D372" s="1" t="s">
        <v>29</v>
      </c>
      <c r="E372" s="1">
        <v>15</v>
      </c>
      <c r="F372" s="1">
        <v>16</v>
      </c>
      <c r="G372" s="1">
        <v>240</v>
      </c>
      <c r="H372" s="1">
        <v>0.02</v>
      </c>
      <c r="I372" s="1" t="s">
        <v>35</v>
      </c>
    </row>
    <row r="373" spans="1:9" x14ac:dyDescent="0.3">
      <c r="A373" s="1" t="s">
        <v>402</v>
      </c>
      <c r="B373" s="1" t="s">
        <v>28</v>
      </c>
      <c r="C373" s="2">
        <v>43286</v>
      </c>
      <c r="D373" s="1" t="s">
        <v>14</v>
      </c>
      <c r="E373" s="1">
        <v>18</v>
      </c>
      <c r="F373" s="1">
        <v>40</v>
      </c>
      <c r="G373" s="1">
        <v>720</v>
      </c>
      <c r="H373" s="1">
        <v>0.06</v>
      </c>
      <c r="I373" s="1" t="s">
        <v>37</v>
      </c>
    </row>
    <row r="374" spans="1:9" x14ac:dyDescent="0.3">
      <c r="A374" s="1" t="s">
        <v>403</v>
      </c>
      <c r="B374" s="1" t="s">
        <v>25</v>
      </c>
      <c r="C374" s="2">
        <v>43286</v>
      </c>
      <c r="D374" s="1" t="s">
        <v>14</v>
      </c>
      <c r="E374" s="1">
        <v>18</v>
      </c>
      <c r="F374" s="1">
        <v>40</v>
      </c>
      <c r="G374" s="1">
        <v>720</v>
      </c>
      <c r="H374" s="1">
        <v>0.04</v>
      </c>
      <c r="I374" s="1" t="s">
        <v>39</v>
      </c>
    </row>
    <row r="375" spans="1:9" x14ac:dyDescent="0.3">
      <c r="A375" s="1" t="s">
        <v>404</v>
      </c>
      <c r="B375" s="1" t="s">
        <v>25</v>
      </c>
      <c r="C375" s="2">
        <v>43286</v>
      </c>
      <c r="D375" s="1" t="s">
        <v>29</v>
      </c>
      <c r="E375" s="1">
        <v>22</v>
      </c>
      <c r="F375" s="1">
        <v>16</v>
      </c>
      <c r="G375" s="1">
        <v>352</v>
      </c>
      <c r="H375" s="1">
        <v>0.03</v>
      </c>
      <c r="I375" s="1" t="s">
        <v>41</v>
      </c>
    </row>
    <row r="376" spans="1:9" x14ac:dyDescent="0.3">
      <c r="A376" s="1" t="s">
        <v>405</v>
      </c>
      <c r="B376" s="1" t="s">
        <v>22</v>
      </c>
      <c r="C376" s="2">
        <v>43286</v>
      </c>
      <c r="D376" s="1" t="s">
        <v>29</v>
      </c>
      <c r="E376" s="1">
        <v>12</v>
      </c>
      <c r="F376" s="1">
        <v>16</v>
      </c>
      <c r="G376" s="1">
        <v>192</v>
      </c>
      <c r="H376" s="1">
        <v>0.11</v>
      </c>
      <c r="I376" s="1" t="s">
        <v>11</v>
      </c>
    </row>
    <row r="377" spans="1:9" x14ac:dyDescent="0.3">
      <c r="A377" s="1" t="s">
        <v>406</v>
      </c>
      <c r="B377" s="1" t="s">
        <v>9</v>
      </c>
      <c r="C377" s="2">
        <v>43287</v>
      </c>
      <c r="D377" s="1" t="s">
        <v>10</v>
      </c>
      <c r="E377" s="1">
        <v>20</v>
      </c>
      <c r="F377" s="1">
        <v>80</v>
      </c>
      <c r="G377" s="1">
        <v>1600</v>
      </c>
      <c r="H377" s="1">
        <v>0.01</v>
      </c>
      <c r="I377" s="1" t="s">
        <v>15</v>
      </c>
    </row>
    <row r="378" spans="1:9" x14ac:dyDescent="0.3">
      <c r="A378" s="1" t="s">
        <v>407</v>
      </c>
      <c r="B378" s="1" t="s">
        <v>22</v>
      </c>
      <c r="C378" s="2">
        <v>43287</v>
      </c>
      <c r="D378" s="1" t="s">
        <v>17</v>
      </c>
      <c r="E378" s="1">
        <v>10</v>
      </c>
      <c r="F378" s="1">
        <v>230</v>
      </c>
      <c r="G378" s="1">
        <v>2300</v>
      </c>
      <c r="H378" s="1">
        <v>0.02</v>
      </c>
      <c r="I378" s="1" t="s">
        <v>18</v>
      </c>
    </row>
    <row r="379" spans="1:9" x14ac:dyDescent="0.3">
      <c r="A379" s="1" t="s">
        <v>408</v>
      </c>
      <c r="B379" s="1" t="s">
        <v>13</v>
      </c>
      <c r="C379" s="2">
        <v>43287</v>
      </c>
      <c r="D379" s="1" t="s">
        <v>17</v>
      </c>
      <c r="E379" s="1">
        <v>9</v>
      </c>
      <c r="F379" s="1">
        <v>230</v>
      </c>
      <c r="G379" s="1">
        <v>2070</v>
      </c>
      <c r="H379" s="1">
        <v>0.03</v>
      </c>
      <c r="I379" s="1" t="s">
        <v>46</v>
      </c>
    </row>
    <row r="380" spans="1:9" x14ac:dyDescent="0.3">
      <c r="A380" s="1" t="s">
        <v>409</v>
      </c>
      <c r="B380" s="1" t="s">
        <v>13</v>
      </c>
      <c r="C380" s="2">
        <v>43287</v>
      </c>
      <c r="D380" s="1" t="s">
        <v>10</v>
      </c>
      <c r="E380" s="1">
        <v>17</v>
      </c>
      <c r="F380" s="1">
        <v>80</v>
      </c>
      <c r="G380" s="1">
        <v>1360</v>
      </c>
      <c r="H380" s="1">
        <v>0.03</v>
      </c>
      <c r="I380" s="1" t="s">
        <v>23</v>
      </c>
    </row>
    <row r="381" spans="1:9" x14ac:dyDescent="0.3">
      <c r="A381" s="1" t="s">
        <v>410</v>
      </c>
      <c r="B381" s="1" t="s">
        <v>28</v>
      </c>
      <c r="C381" s="2">
        <v>43287</v>
      </c>
      <c r="D381" s="1" t="s">
        <v>14</v>
      </c>
      <c r="E381" s="1">
        <v>4</v>
      </c>
      <c r="F381" s="1">
        <v>40</v>
      </c>
      <c r="G381" s="1">
        <v>160</v>
      </c>
      <c r="H381" s="1">
        <v>0.09</v>
      </c>
      <c r="I381" s="1" t="s">
        <v>26</v>
      </c>
    </row>
    <row r="382" spans="1:9" x14ac:dyDescent="0.3">
      <c r="A382" s="1" t="s">
        <v>411</v>
      </c>
      <c r="B382" s="1" t="s">
        <v>13</v>
      </c>
      <c r="C382" s="2">
        <v>43287</v>
      </c>
      <c r="D382" s="1" t="s">
        <v>32</v>
      </c>
      <c r="E382" s="1">
        <v>16</v>
      </c>
      <c r="F382" s="1">
        <v>150</v>
      </c>
      <c r="G382" s="1">
        <v>2400</v>
      </c>
      <c r="H382" s="1">
        <v>0.03</v>
      </c>
      <c r="I382" s="1" t="s">
        <v>30</v>
      </c>
    </row>
    <row r="383" spans="1:9" x14ac:dyDescent="0.3">
      <c r="A383" s="1" t="s">
        <v>412</v>
      </c>
      <c r="B383" s="1" t="s">
        <v>22</v>
      </c>
      <c r="C383" s="2">
        <v>43287</v>
      </c>
      <c r="D383" s="1" t="s">
        <v>10</v>
      </c>
      <c r="E383" s="1">
        <v>8</v>
      </c>
      <c r="F383" s="1">
        <v>80</v>
      </c>
      <c r="G383" s="1">
        <v>640</v>
      </c>
      <c r="H383" s="1">
        <v>0.02</v>
      </c>
      <c r="I383" s="1" t="s">
        <v>33</v>
      </c>
    </row>
    <row r="384" spans="1:9" x14ac:dyDescent="0.3">
      <c r="A384" s="1" t="s">
        <v>413</v>
      </c>
      <c r="B384" s="1" t="s">
        <v>25</v>
      </c>
      <c r="C384" s="2">
        <v>43287</v>
      </c>
      <c r="D384" s="1" t="s">
        <v>14</v>
      </c>
      <c r="E384" s="1">
        <v>23</v>
      </c>
      <c r="F384" s="1">
        <v>40</v>
      </c>
      <c r="G384" s="1">
        <v>920</v>
      </c>
      <c r="H384" s="1">
        <v>0.06</v>
      </c>
      <c r="I384" s="1" t="s">
        <v>35</v>
      </c>
    </row>
    <row r="385" spans="1:9" x14ac:dyDescent="0.3">
      <c r="A385" s="1" t="s">
        <v>414</v>
      </c>
      <c r="B385" s="1" t="s">
        <v>25</v>
      </c>
      <c r="C385" s="2">
        <v>43288</v>
      </c>
      <c r="D385" s="1" t="s">
        <v>32</v>
      </c>
      <c r="E385" s="1">
        <v>20</v>
      </c>
      <c r="F385" s="1">
        <v>150</v>
      </c>
      <c r="G385" s="1">
        <v>3000</v>
      </c>
      <c r="H385" s="1">
        <v>0.1</v>
      </c>
      <c r="I385" s="1" t="s">
        <v>37</v>
      </c>
    </row>
    <row r="386" spans="1:9" x14ac:dyDescent="0.3">
      <c r="A386" s="1" t="s">
        <v>415</v>
      </c>
      <c r="B386" s="1" t="s">
        <v>28</v>
      </c>
      <c r="C386" s="2">
        <v>43288</v>
      </c>
      <c r="D386" s="1" t="s">
        <v>17</v>
      </c>
      <c r="E386" s="1">
        <v>22</v>
      </c>
      <c r="F386" s="1">
        <v>230</v>
      </c>
      <c r="G386" s="1">
        <v>5060</v>
      </c>
      <c r="H386" s="1">
        <v>0.1</v>
      </c>
      <c r="I386" s="1" t="s">
        <v>39</v>
      </c>
    </row>
    <row r="387" spans="1:9" x14ac:dyDescent="0.3">
      <c r="A387" s="1" t="s">
        <v>416</v>
      </c>
      <c r="B387" s="1" t="s">
        <v>13</v>
      </c>
      <c r="C387" s="2">
        <v>43288</v>
      </c>
      <c r="D387" s="1" t="s">
        <v>17</v>
      </c>
      <c r="E387" s="1">
        <v>6</v>
      </c>
      <c r="F387" s="1">
        <v>230</v>
      </c>
      <c r="G387" s="1">
        <v>1380</v>
      </c>
      <c r="H387" s="1">
        <v>0.1</v>
      </c>
      <c r="I387" s="1" t="s">
        <v>41</v>
      </c>
    </row>
    <row r="388" spans="1:9" x14ac:dyDescent="0.3">
      <c r="A388" s="1" t="s">
        <v>417</v>
      </c>
      <c r="B388" s="1" t="s">
        <v>25</v>
      </c>
      <c r="C388" s="2">
        <v>43288</v>
      </c>
      <c r="D388" s="1" t="s">
        <v>10</v>
      </c>
      <c r="E388" s="1">
        <v>10</v>
      </c>
      <c r="F388" s="1">
        <v>80</v>
      </c>
      <c r="G388" s="1">
        <v>800</v>
      </c>
      <c r="H388" s="1">
        <v>0.1</v>
      </c>
      <c r="I388" s="1" t="s">
        <v>11</v>
      </c>
    </row>
    <row r="389" spans="1:9" x14ac:dyDescent="0.3">
      <c r="A389" s="1" t="s">
        <v>418</v>
      </c>
      <c r="B389" s="1" t="s">
        <v>28</v>
      </c>
      <c r="C389" s="2">
        <v>43288</v>
      </c>
      <c r="D389" s="1" t="s">
        <v>17</v>
      </c>
      <c r="E389" s="1">
        <v>21</v>
      </c>
      <c r="F389" s="1">
        <v>230</v>
      </c>
      <c r="G389" s="1">
        <v>4830</v>
      </c>
      <c r="H389" s="1">
        <v>0.05</v>
      </c>
      <c r="I389" s="1" t="s">
        <v>15</v>
      </c>
    </row>
    <row r="390" spans="1:9" x14ac:dyDescent="0.3">
      <c r="A390" s="1" t="s">
        <v>419</v>
      </c>
      <c r="B390" s="1" t="s">
        <v>9</v>
      </c>
      <c r="C390" s="2">
        <v>43288</v>
      </c>
      <c r="D390" s="1" t="s">
        <v>17</v>
      </c>
      <c r="E390" s="1">
        <v>20</v>
      </c>
      <c r="F390" s="1">
        <v>230</v>
      </c>
      <c r="G390" s="1">
        <v>4600</v>
      </c>
      <c r="H390" s="1">
        <v>0.04</v>
      </c>
      <c r="I390" s="1" t="s">
        <v>18</v>
      </c>
    </row>
    <row r="391" spans="1:9" x14ac:dyDescent="0.3">
      <c r="A391" s="1" t="s">
        <v>420</v>
      </c>
      <c r="B391" s="1" t="s">
        <v>22</v>
      </c>
      <c r="C391" s="2">
        <v>43288</v>
      </c>
      <c r="D391" s="1" t="s">
        <v>10</v>
      </c>
      <c r="E391" s="1">
        <v>20</v>
      </c>
      <c r="F391" s="1">
        <v>80</v>
      </c>
      <c r="G391" s="1">
        <v>1600</v>
      </c>
      <c r="H391" s="1">
        <v>7.0000000000000007E-2</v>
      </c>
      <c r="I391" s="1" t="s">
        <v>46</v>
      </c>
    </row>
    <row r="392" spans="1:9" x14ac:dyDescent="0.3">
      <c r="A392" s="1" t="s">
        <v>421</v>
      </c>
      <c r="B392" s="1" t="s">
        <v>22</v>
      </c>
      <c r="C392" s="2">
        <v>43288</v>
      </c>
      <c r="D392" s="1" t="s">
        <v>10</v>
      </c>
      <c r="E392" s="1">
        <v>7</v>
      </c>
      <c r="F392" s="1">
        <v>80</v>
      </c>
      <c r="G392" s="1">
        <v>560</v>
      </c>
      <c r="H392" s="1">
        <v>0.05</v>
      </c>
      <c r="I392" s="1" t="s">
        <v>23</v>
      </c>
    </row>
    <row r="393" spans="1:9" x14ac:dyDescent="0.3">
      <c r="A393" s="1" t="s">
        <v>422</v>
      </c>
      <c r="B393" s="1" t="s">
        <v>9</v>
      </c>
      <c r="C393" s="2">
        <v>43288</v>
      </c>
      <c r="D393" s="1" t="s">
        <v>10</v>
      </c>
      <c r="E393" s="1">
        <v>8</v>
      </c>
      <c r="F393" s="1">
        <v>80</v>
      </c>
      <c r="G393" s="1">
        <v>640</v>
      </c>
      <c r="H393" s="1">
        <v>0.09</v>
      </c>
      <c r="I393" s="1" t="s">
        <v>26</v>
      </c>
    </row>
    <row r="394" spans="1:9" x14ac:dyDescent="0.3">
      <c r="A394" s="1" t="s">
        <v>423</v>
      </c>
      <c r="B394" s="1" t="s">
        <v>13</v>
      </c>
      <c r="C394" s="2">
        <v>43288</v>
      </c>
      <c r="D394" s="1" t="s">
        <v>10</v>
      </c>
      <c r="E394" s="1">
        <v>3</v>
      </c>
      <c r="F394" s="1">
        <v>80</v>
      </c>
      <c r="G394" s="1">
        <v>240</v>
      </c>
      <c r="H394" s="1">
        <v>0.02</v>
      </c>
      <c r="I394" s="1" t="s">
        <v>30</v>
      </c>
    </row>
    <row r="395" spans="1:9" x14ac:dyDescent="0.3">
      <c r="A395" s="1" t="s">
        <v>424</v>
      </c>
      <c r="B395" s="1" t="s">
        <v>25</v>
      </c>
      <c r="C395" s="2">
        <v>43288</v>
      </c>
      <c r="D395" s="1" t="s">
        <v>10</v>
      </c>
      <c r="E395" s="1">
        <v>8</v>
      </c>
      <c r="F395" s="1">
        <v>80</v>
      </c>
      <c r="G395" s="1">
        <v>640</v>
      </c>
      <c r="H395" s="1">
        <v>0.06</v>
      </c>
      <c r="I395" s="1" t="s">
        <v>33</v>
      </c>
    </row>
    <row r="396" spans="1:9" x14ac:dyDescent="0.3">
      <c r="A396" s="1" t="s">
        <v>425</v>
      </c>
      <c r="B396" s="1" t="s">
        <v>28</v>
      </c>
      <c r="C396" s="2">
        <v>43288</v>
      </c>
      <c r="D396" s="1" t="s">
        <v>32</v>
      </c>
      <c r="E396" s="1">
        <v>13</v>
      </c>
      <c r="F396" s="1">
        <v>150</v>
      </c>
      <c r="G396" s="1">
        <v>1950</v>
      </c>
      <c r="H396" s="1">
        <v>0.11</v>
      </c>
      <c r="I396" s="1" t="s">
        <v>35</v>
      </c>
    </row>
    <row r="397" spans="1:9" x14ac:dyDescent="0.3">
      <c r="A397" s="1" t="s">
        <v>426</v>
      </c>
      <c r="B397" s="1" t="s">
        <v>25</v>
      </c>
      <c r="C397" s="2">
        <v>43288</v>
      </c>
      <c r="D397" s="1" t="s">
        <v>10</v>
      </c>
      <c r="E397" s="1">
        <v>15</v>
      </c>
      <c r="F397" s="1">
        <v>80</v>
      </c>
      <c r="G397" s="1">
        <v>1200</v>
      </c>
      <c r="H397" s="1">
        <v>0.08</v>
      </c>
      <c r="I397" s="1" t="s">
        <v>37</v>
      </c>
    </row>
    <row r="398" spans="1:9" x14ac:dyDescent="0.3">
      <c r="A398" s="1" t="s">
        <v>427</v>
      </c>
      <c r="B398" s="1" t="s">
        <v>28</v>
      </c>
      <c r="C398" s="2">
        <v>43288</v>
      </c>
      <c r="D398" s="1" t="s">
        <v>32</v>
      </c>
      <c r="E398" s="1">
        <v>7</v>
      </c>
      <c r="F398" s="1">
        <v>150</v>
      </c>
      <c r="G398" s="1">
        <v>1050</v>
      </c>
      <c r="H398" s="1">
        <v>0.02</v>
      </c>
      <c r="I398" s="1" t="s">
        <v>39</v>
      </c>
    </row>
    <row r="399" spans="1:9" x14ac:dyDescent="0.3">
      <c r="A399" s="1" t="s">
        <v>428</v>
      </c>
      <c r="B399" s="1" t="s">
        <v>22</v>
      </c>
      <c r="C399" s="2">
        <v>43288</v>
      </c>
      <c r="D399" s="1" t="s">
        <v>14</v>
      </c>
      <c r="E399" s="1">
        <v>6</v>
      </c>
      <c r="F399" s="1">
        <v>40</v>
      </c>
      <c r="G399" s="1">
        <v>240</v>
      </c>
      <c r="H399" s="1">
        <v>0.06</v>
      </c>
      <c r="I399" s="1" t="s">
        <v>41</v>
      </c>
    </row>
    <row r="400" spans="1:9" x14ac:dyDescent="0.3">
      <c r="A400" s="1" t="s">
        <v>429</v>
      </c>
      <c r="B400" s="1" t="s">
        <v>25</v>
      </c>
      <c r="C400" s="2">
        <v>43288</v>
      </c>
      <c r="D400" s="1" t="s">
        <v>10</v>
      </c>
      <c r="E400" s="1">
        <v>23</v>
      </c>
      <c r="F400" s="1">
        <v>80</v>
      </c>
      <c r="G400" s="1">
        <v>1840</v>
      </c>
      <c r="H400" s="1">
        <v>0.11</v>
      </c>
      <c r="I400" s="1" t="s">
        <v>11</v>
      </c>
    </row>
    <row r="401" spans="1:9" x14ac:dyDescent="0.3">
      <c r="A401" s="1" t="s">
        <v>430</v>
      </c>
      <c r="B401" s="1" t="s">
        <v>22</v>
      </c>
      <c r="C401" s="2">
        <v>43288</v>
      </c>
      <c r="D401" s="1" t="s">
        <v>17</v>
      </c>
      <c r="E401" s="1">
        <v>18</v>
      </c>
      <c r="F401" s="1">
        <v>230</v>
      </c>
      <c r="G401" s="1">
        <v>4140</v>
      </c>
      <c r="H401" s="1">
        <v>0.01</v>
      </c>
      <c r="I401" s="1" t="s">
        <v>15</v>
      </c>
    </row>
    <row r="402" spans="1:9" x14ac:dyDescent="0.3">
      <c r="A402" s="1" t="s">
        <v>431</v>
      </c>
      <c r="B402" s="1" t="s">
        <v>28</v>
      </c>
      <c r="C402" s="2">
        <v>43289</v>
      </c>
      <c r="D402" s="1" t="s">
        <v>10</v>
      </c>
      <c r="E402" s="1">
        <v>21</v>
      </c>
      <c r="F402" s="1">
        <v>80</v>
      </c>
      <c r="G402" s="1">
        <v>1680</v>
      </c>
      <c r="H402" s="1">
        <v>0.09</v>
      </c>
      <c r="I402" s="1" t="s">
        <v>18</v>
      </c>
    </row>
    <row r="403" spans="1:9" x14ac:dyDescent="0.3">
      <c r="A403" s="1" t="s">
        <v>432</v>
      </c>
      <c r="B403" s="1" t="s">
        <v>22</v>
      </c>
      <c r="C403" s="2">
        <v>43289</v>
      </c>
      <c r="D403" s="1" t="s">
        <v>14</v>
      </c>
      <c r="E403" s="1">
        <v>13</v>
      </c>
      <c r="F403" s="1">
        <v>40</v>
      </c>
      <c r="G403" s="1">
        <v>520</v>
      </c>
      <c r="H403" s="1">
        <v>0.02</v>
      </c>
      <c r="I403" s="1" t="s">
        <v>46</v>
      </c>
    </row>
    <row r="404" spans="1:9" x14ac:dyDescent="0.3">
      <c r="A404" s="1" t="s">
        <v>433</v>
      </c>
      <c r="B404" s="1" t="s">
        <v>22</v>
      </c>
      <c r="C404" s="2">
        <v>43289</v>
      </c>
      <c r="D404" s="1" t="s">
        <v>10</v>
      </c>
      <c r="E404" s="1">
        <v>23</v>
      </c>
      <c r="F404" s="1">
        <v>80</v>
      </c>
      <c r="G404" s="1">
        <v>1840</v>
      </c>
      <c r="H404" s="1">
        <v>0.05</v>
      </c>
      <c r="I404" s="1" t="s">
        <v>23</v>
      </c>
    </row>
    <row r="405" spans="1:9" x14ac:dyDescent="0.3">
      <c r="A405" s="1" t="s">
        <v>434</v>
      </c>
      <c r="B405" s="1" t="s">
        <v>25</v>
      </c>
      <c r="C405" s="2">
        <v>43289</v>
      </c>
      <c r="D405" s="1" t="s">
        <v>32</v>
      </c>
      <c r="E405" s="1">
        <v>15</v>
      </c>
      <c r="F405" s="1">
        <v>150</v>
      </c>
      <c r="G405" s="1">
        <v>2250</v>
      </c>
      <c r="H405" s="1">
        <v>0.05</v>
      </c>
      <c r="I405" s="1" t="s">
        <v>26</v>
      </c>
    </row>
    <row r="406" spans="1:9" x14ac:dyDescent="0.3">
      <c r="A406" s="1" t="s">
        <v>435</v>
      </c>
      <c r="B406" s="1" t="s">
        <v>9</v>
      </c>
      <c r="C406" s="2">
        <v>43289</v>
      </c>
      <c r="D406" s="1" t="s">
        <v>14</v>
      </c>
      <c r="E406" s="1">
        <v>5</v>
      </c>
      <c r="F406" s="1">
        <v>40</v>
      </c>
      <c r="G406" s="1">
        <v>200</v>
      </c>
      <c r="H406" s="1">
        <v>0.09</v>
      </c>
      <c r="I406" s="1" t="s">
        <v>30</v>
      </c>
    </row>
    <row r="407" spans="1:9" x14ac:dyDescent="0.3">
      <c r="A407" s="1" t="s">
        <v>436</v>
      </c>
      <c r="B407" s="1" t="s">
        <v>25</v>
      </c>
      <c r="C407" s="2">
        <v>43289</v>
      </c>
      <c r="D407" s="1" t="s">
        <v>29</v>
      </c>
      <c r="E407" s="1">
        <v>10</v>
      </c>
      <c r="F407" s="1">
        <v>16</v>
      </c>
      <c r="G407" s="1">
        <v>160</v>
      </c>
      <c r="H407" s="1">
        <v>0.01</v>
      </c>
      <c r="I407" s="1" t="s">
        <v>33</v>
      </c>
    </row>
    <row r="408" spans="1:9" x14ac:dyDescent="0.3">
      <c r="A408" s="1" t="s">
        <v>437</v>
      </c>
      <c r="B408" s="1" t="s">
        <v>22</v>
      </c>
      <c r="C408" s="2">
        <v>43289</v>
      </c>
      <c r="D408" s="1" t="s">
        <v>17</v>
      </c>
      <c r="E408" s="1">
        <v>2</v>
      </c>
      <c r="F408" s="1">
        <v>230</v>
      </c>
      <c r="G408" s="1">
        <v>460</v>
      </c>
      <c r="H408" s="1">
        <v>0.09</v>
      </c>
      <c r="I408" s="1" t="s">
        <v>35</v>
      </c>
    </row>
    <row r="409" spans="1:9" x14ac:dyDescent="0.3">
      <c r="A409" s="1" t="s">
        <v>438</v>
      </c>
      <c r="B409" s="1" t="s">
        <v>25</v>
      </c>
      <c r="C409" s="2">
        <v>43289</v>
      </c>
      <c r="D409" s="1" t="s">
        <v>10</v>
      </c>
      <c r="E409" s="1">
        <v>7</v>
      </c>
      <c r="F409" s="1">
        <v>80</v>
      </c>
      <c r="G409" s="1">
        <v>560</v>
      </c>
      <c r="H409" s="1">
        <v>0.02</v>
      </c>
      <c r="I409" s="1" t="s">
        <v>37</v>
      </c>
    </row>
    <row r="410" spans="1:9" x14ac:dyDescent="0.3">
      <c r="A410" s="1" t="s">
        <v>439</v>
      </c>
      <c r="B410" s="1" t="s">
        <v>25</v>
      </c>
      <c r="C410" s="2">
        <v>43289</v>
      </c>
      <c r="D410" s="1" t="s">
        <v>32</v>
      </c>
      <c r="E410" s="1">
        <v>22</v>
      </c>
      <c r="F410" s="1">
        <v>150</v>
      </c>
      <c r="G410" s="1">
        <v>3300</v>
      </c>
      <c r="H410" s="1">
        <v>0.05</v>
      </c>
      <c r="I410" s="1" t="s">
        <v>39</v>
      </c>
    </row>
    <row r="411" spans="1:9" x14ac:dyDescent="0.3">
      <c r="A411" s="1" t="s">
        <v>440</v>
      </c>
      <c r="B411" s="1" t="s">
        <v>28</v>
      </c>
      <c r="C411" s="2">
        <v>43289</v>
      </c>
      <c r="D411" s="1" t="s">
        <v>14</v>
      </c>
      <c r="E411" s="1">
        <v>17</v>
      </c>
      <c r="F411" s="1">
        <v>40</v>
      </c>
      <c r="G411" s="1">
        <v>680</v>
      </c>
      <c r="H411" s="1">
        <v>0.02</v>
      </c>
      <c r="I411" s="1" t="s">
        <v>41</v>
      </c>
    </row>
    <row r="412" spans="1:9" x14ac:dyDescent="0.3">
      <c r="A412" s="1" t="s">
        <v>441</v>
      </c>
      <c r="B412" s="1" t="s">
        <v>9</v>
      </c>
      <c r="C412" s="2">
        <v>43289</v>
      </c>
      <c r="D412" s="1" t="s">
        <v>29</v>
      </c>
      <c r="E412" s="1">
        <v>22</v>
      </c>
      <c r="F412" s="1">
        <v>16</v>
      </c>
      <c r="G412" s="1">
        <v>352</v>
      </c>
      <c r="H412" s="1">
        <v>0.06</v>
      </c>
      <c r="I412" s="1" t="s">
        <v>11</v>
      </c>
    </row>
    <row r="413" spans="1:9" x14ac:dyDescent="0.3">
      <c r="A413" s="1" t="s">
        <v>442</v>
      </c>
      <c r="B413" s="1" t="s">
        <v>28</v>
      </c>
      <c r="C413" s="2">
        <v>43289</v>
      </c>
      <c r="D413" s="1" t="s">
        <v>29</v>
      </c>
      <c r="E413" s="1">
        <v>3</v>
      </c>
      <c r="F413" s="1">
        <v>16</v>
      </c>
      <c r="G413" s="1">
        <v>48</v>
      </c>
      <c r="H413" s="1">
        <v>0.03</v>
      </c>
      <c r="I413" s="1" t="s">
        <v>15</v>
      </c>
    </row>
    <row r="414" spans="1:9" x14ac:dyDescent="0.3">
      <c r="A414" s="1" t="s">
        <v>443</v>
      </c>
      <c r="B414" s="1" t="s">
        <v>28</v>
      </c>
      <c r="C414" s="2">
        <v>43289</v>
      </c>
      <c r="D414" s="1" t="s">
        <v>17</v>
      </c>
      <c r="E414" s="1">
        <v>2</v>
      </c>
      <c r="F414" s="1">
        <v>230</v>
      </c>
      <c r="G414" s="1">
        <v>460</v>
      </c>
      <c r="H414" s="1">
        <v>0.08</v>
      </c>
      <c r="I414" s="1" t="s">
        <v>18</v>
      </c>
    </row>
    <row r="415" spans="1:9" x14ac:dyDescent="0.3">
      <c r="A415" s="1" t="s">
        <v>444</v>
      </c>
      <c r="B415" s="1" t="s">
        <v>9</v>
      </c>
      <c r="C415" s="2">
        <v>43289</v>
      </c>
      <c r="D415" s="1" t="s">
        <v>29</v>
      </c>
      <c r="E415" s="1">
        <v>21</v>
      </c>
      <c r="F415" s="1">
        <v>16</v>
      </c>
      <c r="G415" s="1">
        <v>336</v>
      </c>
      <c r="H415" s="1">
        <v>0.09</v>
      </c>
      <c r="I415" s="1" t="s">
        <v>46</v>
      </c>
    </row>
    <row r="416" spans="1:9" x14ac:dyDescent="0.3">
      <c r="A416" s="1" t="s">
        <v>445</v>
      </c>
      <c r="B416" s="1" t="s">
        <v>25</v>
      </c>
      <c r="C416" s="2">
        <v>43289</v>
      </c>
      <c r="D416" s="1" t="s">
        <v>10</v>
      </c>
      <c r="E416" s="1">
        <v>7</v>
      </c>
      <c r="F416" s="1">
        <v>80</v>
      </c>
      <c r="G416" s="1">
        <v>560</v>
      </c>
      <c r="H416" s="1">
        <v>7.0000000000000007E-2</v>
      </c>
      <c r="I416" s="1" t="s">
        <v>23</v>
      </c>
    </row>
    <row r="417" spans="1:9" x14ac:dyDescent="0.3">
      <c r="A417" s="1" t="s">
        <v>446</v>
      </c>
      <c r="B417" s="1" t="s">
        <v>13</v>
      </c>
      <c r="C417" s="2">
        <v>43289</v>
      </c>
      <c r="D417" s="1" t="s">
        <v>32</v>
      </c>
      <c r="E417" s="1">
        <v>23</v>
      </c>
      <c r="F417" s="1">
        <v>150</v>
      </c>
      <c r="G417" s="1">
        <v>3450</v>
      </c>
      <c r="H417" s="1">
        <v>0.11</v>
      </c>
      <c r="I417" s="1" t="s">
        <v>26</v>
      </c>
    </row>
    <row r="418" spans="1:9" x14ac:dyDescent="0.3">
      <c r="A418" s="1" t="s">
        <v>447</v>
      </c>
      <c r="B418" s="1" t="s">
        <v>9</v>
      </c>
      <c r="C418" s="2">
        <v>43290</v>
      </c>
      <c r="D418" s="1" t="s">
        <v>32</v>
      </c>
      <c r="E418" s="1">
        <v>11</v>
      </c>
      <c r="F418" s="1">
        <v>150</v>
      </c>
      <c r="G418" s="1">
        <v>1650</v>
      </c>
      <c r="H418" s="1">
        <v>0.05</v>
      </c>
      <c r="I418" s="1" t="s">
        <v>30</v>
      </c>
    </row>
    <row r="419" spans="1:9" x14ac:dyDescent="0.3">
      <c r="A419" s="1" t="s">
        <v>448</v>
      </c>
      <c r="B419" s="1" t="s">
        <v>28</v>
      </c>
      <c r="C419" s="2">
        <v>43290</v>
      </c>
      <c r="D419" s="1" t="s">
        <v>10</v>
      </c>
      <c r="E419" s="1">
        <v>16</v>
      </c>
      <c r="F419" s="1">
        <v>80</v>
      </c>
      <c r="G419" s="1">
        <v>1280</v>
      </c>
      <c r="H419" s="1">
        <v>0.05</v>
      </c>
      <c r="I419" s="1" t="s">
        <v>33</v>
      </c>
    </row>
    <row r="420" spans="1:9" x14ac:dyDescent="0.3">
      <c r="A420" s="1" t="s">
        <v>449</v>
      </c>
      <c r="B420" s="1" t="s">
        <v>22</v>
      </c>
      <c r="C420" s="2">
        <v>43290</v>
      </c>
      <c r="D420" s="1" t="s">
        <v>17</v>
      </c>
      <c r="E420" s="1">
        <v>5</v>
      </c>
      <c r="F420" s="1">
        <v>230</v>
      </c>
      <c r="G420" s="1">
        <v>1150</v>
      </c>
      <c r="H420" s="1">
        <v>0.1</v>
      </c>
      <c r="I420" s="1" t="s">
        <v>35</v>
      </c>
    </row>
    <row r="421" spans="1:9" x14ac:dyDescent="0.3">
      <c r="A421" s="1" t="s">
        <v>450</v>
      </c>
      <c r="B421" s="1" t="s">
        <v>9</v>
      </c>
      <c r="C421" s="2">
        <v>43290</v>
      </c>
      <c r="D421" s="1" t="s">
        <v>29</v>
      </c>
      <c r="E421" s="1">
        <v>22</v>
      </c>
      <c r="F421" s="1">
        <v>16</v>
      </c>
      <c r="G421" s="1">
        <v>352</v>
      </c>
      <c r="H421" s="1">
        <v>0.01</v>
      </c>
      <c r="I421" s="1" t="s">
        <v>37</v>
      </c>
    </row>
    <row r="422" spans="1:9" x14ac:dyDescent="0.3">
      <c r="A422" s="1" t="s">
        <v>451</v>
      </c>
      <c r="B422" s="1" t="s">
        <v>28</v>
      </c>
      <c r="C422" s="2">
        <v>43290</v>
      </c>
      <c r="D422" s="1" t="s">
        <v>14</v>
      </c>
      <c r="E422" s="1">
        <v>7</v>
      </c>
      <c r="F422" s="1">
        <v>40</v>
      </c>
      <c r="G422" s="1">
        <v>280</v>
      </c>
      <c r="H422" s="1">
        <v>0.12</v>
      </c>
      <c r="I422" s="1" t="s">
        <v>11</v>
      </c>
    </row>
    <row r="423" spans="1:9" x14ac:dyDescent="0.3">
      <c r="A423" s="1" t="s">
        <v>452</v>
      </c>
      <c r="B423" s="1" t="s">
        <v>13</v>
      </c>
      <c r="C423" s="2">
        <v>43290</v>
      </c>
      <c r="D423" s="1" t="s">
        <v>10</v>
      </c>
      <c r="E423" s="1">
        <v>2</v>
      </c>
      <c r="F423" s="1">
        <v>80</v>
      </c>
      <c r="G423" s="1">
        <v>160</v>
      </c>
      <c r="H423" s="1">
        <v>0.04</v>
      </c>
      <c r="I423" s="1" t="s">
        <v>15</v>
      </c>
    </row>
    <row r="424" spans="1:9" x14ac:dyDescent="0.3">
      <c r="A424" s="1" t="s">
        <v>453</v>
      </c>
      <c r="B424" s="1" t="s">
        <v>25</v>
      </c>
      <c r="C424" s="2">
        <v>43290</v>
      </c>
      <c r="D424" s="1" t="s">
        <v>14</v>
      </c>
      <c r="E424" s="1">
        <v>6</v>
      </c>
      <c r="F424" s="1">
        <v>40</v>
      </c>
      <c r="G424" s="1">
        <v>240</v>
      </c>
      <c r="H424" s="1">
        <v>7.0000000000000007E-2</v>
      </c>
      <c r="I424" s="1" t="s">
        <v>18</v>
      </c>
    </row>
    <row r="425" spans="1:9" x14ac:dyDescent="0.3">
      <c r="A425" s="1" t="s">
        <v>454</v>
      </c>
      <c r="B425" s="1" t="s">
        <v>22</v>
      </c>
      <c r="C425" s="2">
        <v>43290</v>
      </c>
      <c r="D425" s="1" t="s">
        <v>10</v>
      </c>
      <c r="E425" s="1">
        <v>6</v>
      </c>
      <c r="F425" s="1">
        <v>80</v>
      </c>
      <c r="G425" s="1">
        <v>480</v>
      </c>
      <c r="H425" s="1">
        <v>0.01</v>
      </c>
      <c r="I425" s="1" t="s">
        <v>46</v>
      </c>
    </row>
    <row r="426" spans="1:9" x14ac:dyDescent="0.3">
      <c r="A426" s="1" t="s">
        <v>455</v>
      </c>
      <c r="B426" s="1" t="s">
        <v>13</v>
      </c>
      <c r="C426" s="2">
        <v>43290</v>
      </c>
      <c r="D426" s="1" t="s">
        <v>29</v>
      </c>
      <c r="E426" s="1">
        <v>22</v>
      </c>
      <c r="F426" s="1">
        <v>16</v>
      </c>
      <c r="G426" s="1">
        <v>352</v>
      </c>
      <c r="H426" s="1">
        <v>0.01</v>
      </c>
      <c r="I426" s="1" t="s">
        <v>23</v>
      </c>
    </row>
    <row r="427" spans="1:9" x14ac:dyDescent="0.3">
      <c r="A427" s="1" t="s">
        <v>456</v>
      </c>
      <c r="B427" s="1" t="s">
        <v>25</v>
      </c>
      <c r="C427" s="2">
        <v>43290</v>
      </c>
      <c r="D427" s="1" t="s">
        <v>17</v>
      </c>
      <c r="E427" s="1">
        <v>7</v>
      </c>
      <c r="F427" s="1">
        <v>230</v>
      </c>
      <c r="G427" s="1">
        <v>1610</v>
      </c>
      <c r="H427" s="1">
        <v>0.06</v>
      </c>
      <c r="I427" s="1" t="s">
        <v>26</v>
      </c>
    </row>
    <row r="428" spans="1:9" x14ac:dyDescent="0.3">
      <c r="A428" s="1" t="s">
        <v>457</v>
      </c>
      <c r="B428" s="1" t="s">
        <v>25</v>
      </c>
      <c r="C428" s="2">
        <v>43291</v>
      </c>
      <c r="D428" s="1" t="s">
        <v>29</v>
      </c>
      <c r="E428" s="1">
        <v>22</v>
      </c>
      <c r="F428" s="1">
        <v>16</v>
      </c>
      <c r="G428" s="1">
        <v>352</v>
      </c>
      <c r="H428" s="1">
        <v>0.03</v>
      </c>
      <c r="I428" s="1" t="s">
        <v>30</v>
      </c>
    </row>
    <row r="429" spans="1:9" x14ac:dyDescent="0.3">
      <c r="A429" s="1" t="s">
        <v>458</v>
      </c>
      <c r="B429" s="1" t="s">
        <v>28</v>
      </c>
      <c r="C429" s="2">
        <v>43291</v>
      </c>
      <c r="D429" s="1" t="s">
        <v>14</v>
      </c>
      <c r="E429" s="1">
        <v>20</v>
      </c>
      <c r="F429" s="1">
        <v>40</v>
      </c>
      <c r="G429" s="1">
        <v>800</v>
      </c>
      <c r="H429" s="1">
        <v>0.05</v>
      </c>
      <c r="I429" s="1" t="s">
        <v>33</v>
      </c>
    </row>
    <row r="430" spans="1:9" x14ac:dyDescent="0.3">
      <c r="A430" s="1" t="s">
        <v>459</v>
      </c>
      <c r="B430" s="1" t="s">
        <v>13</v>
      </c>
      <c r="C430" s="2">
        <v>43291</v>
      </c>
      <c r="D430" s="1" t="s">
        <v>14</v>
      </c>
      <c r="E430" s="1">
        <v>19</v>
      </c>
      <c r="F430" s="1">
        <v>40</v>
      </c>
      <c r="G430" s="1">
        <v>760</v>
      </c>
      <c r="H430" s="1">
        <v>0.1</v>
      </c>
      <c r="I430" s="1" t="s">
        <v>35</v>
      </c>
    </row>
    <row r="431" spans="1:9" x14ac:dyDescent="0.3">
      <c r="A431" s="1" t="s">
        <v>460</v>
      </c>
      <c r="B431" s="1" t="s">
        <v>9</v>
      </c>
      <c r="C431" s="2">
        <v>43291</v>
      </c>
      <c r="D431" s="1" t="s">
        <v>29</v>
      </c>
      <c r="E431" s="1">
        <v>18</v>
      </c>
      <c r="F431" s="1">
        <v>16</v>
      </c>
      <c r="G431" s="1">
        <v>288</v>
      </c>
      <c r="H431" s="1">
        <v>0.05</v>
      </c>
      <c r="I431" s="1" t="s">
        <v>37</v>
      </c>
    </row>
    <row r="432" spans="1:9" x14ac:dyDescent="0.3">
      <c r="A432" s="1" t="s">
        <v>461</v>
      </c>
      <c r="B432" s="1" t="s">
        <v>22</v>
      </c>
      <c r="C432" s="2">
        <v>43291</v>
      </c>
      <c r="D432" s="1" t="s">
        <v>14</v>
      </c>
      <c r="E432" s="1">
        <v>2</v>
      </c>
      <c r="F432" s="1">
        <v>40</v>
      </c>
      <c r="G432" s="1">
        <v>80</v>
      </c>
      <c r="H432" s="1">
        <v>0.02</v>
      </c>
      <c r="I432" s="1" t="s">
        <v>39</v>
      </c>
    </row>
    <row r="433" spans="1:9" x14ac:dyDescent="0.3">
      <c r="A433" s="1" t="s">
        <v>462</v>
      </c>
      <c r="B433" s="1" t="s">
        <v>25</v>
      </c>
      <c r="C433" s="2">
        <v>43291</v>
      </c>
      <c r="D433" s="1" t="s">
        <v>14</v>
      </c>
      <c r="E433" s="1">
        <v>7</v>
      </c>
      <c r="F433" s="1">
        <v>40</v>
      </c>
      <c r="G433" s="1">
        <v>280</v>
      </c>
      <c r="H433" s="1">
        <v>7.0000000000000007E-2</v>
      </c>
      <c r="I433" s="1" t="s">
        <v>41</v>
      </c>
    </row>
    <row r="434" spans="1:9" x14ac:dyDescent="0.3">
      <c r="A434" s="1" t="s">
        <v>463</v>
      </c>
      <c r="B434" s="1" t="s">
        <v>22</v>
      </c>
      <c r="C434" s="2">
        <v>43291</v>
      </c>
      <c r="D434" s="1" t="s">
        <v>32</v>
      </c>
      <c r="E434" s="1">
        <v>11</v>
      </c>
      <c r="F434" s="1">
        <v>150</v>
      </c>
      <c r="G434" s="1">
        <v>1650</v>
      </c>
      <c r="H434" s="1">
        <v>0.05</v>
      </c>
      <c r="I434" s="1" t="s">
        <v>11</v>
      </c>
    </row>
    <row r="435" spans="1:9" x14ac:dyDescent="0.3">
      <c r="A435" s="1" t="s">
        <v>464</v>
      </c>
      <c r="B435" s="1" t="s">
        <v>13</v>
      </c>
      <c r="C435" s="2">
        <v>43291</v>
      </c>
      <c r="D435" s="1" t="s">
        <v>10</v>
      </c>
      <c r="E435" s="1">
        <v>14</v>
      </c>
      <c r="F435" s="1">
        <v>80</v>
      </c>
      <c r="G435" s="1">
        <v>1120</v>
      </c>
      <c r="H435" s="1">
        <v>0.11</v>
      </c>
      <c r="I435" s="1" t="s">
        <v>15</v>
      </c>
    </row>
    <row r="436" spans="1:9" x14ac:dyDescent="0.3">
      <c r="A436" s="1" t="s">
        <v>465</v>
      </c>
      <c r="B436" s="1" t="s">
        <v>28</v>
      </c>
      <c r="C436" s="2">
        <v>43291</v>
      </c>
      <c r="D436" s="1" t="s">
        <v>14</v>
      </c>
      <c r="E436" s="1">
        <v>7</v>
      </c>
      <c r="F436" s="1">
        <v>40</v>
      </c>
      <c r="G436" s="1">
        <v>280</v>
      </c>
      <c r="H436" s="1">
        <v>0.04</v>
      </c>
      <c r="I436" s="1" t="s">
        <v>18</v>
      </c>
    </row>
    <row r="437" spans="1:9" x14ac:dyDescent="0.3">
      <c r="A437" s="1" t="s">
        <v>466</v>
      </c>
      <c r="B437" s="1" t="s">
        <v>25</v>
      </c>
      <c r="C437" s="2">
        <v>43291</v>
      </c>
      <c r="D437" s="1" t="s">
        <v>10</v>
      </c>
      <c r="E437" s="1">
        <v>14</v>
      </c>
      <c r="F437" s="1">
        <v>80</v>
      </c>
      <c r="G437" s="1">
        <v>1120</v>
      </c>
      <c r="H437" s="1">
        <v>0.05</v>
      </c>
      <c r="I437" s="1" t="s">
        <v>46</v>
      </c>
    </row>
    <row r="438" spans="1:9" x14ac:dyDescent="0.3">
      <c r="A438" s="1" t="s">
        <v>467</v>
      </c>
      <c r="B438" s="1" t="s">
        <v>22</v>
      </c>
      <c r="C438" s="2">
        <v>43292</v>
      </c>
      <c r="D438" s="1" t="s">
        <v>29</v>
      </c>
      <c r="E438" s="1">
        <v>12</v>
      </c>
      <c r="F438" s="1">
        <v>16</v>
      </c>
      <c r="G438" s="1">
        <v>192</v>
      </c>
      <c r="H438" s="1">
        <v>0.11</v>
      </c>
      <c r="I438" s="1" t="s">
        <v>23</v>
      </c>
    </row>
    <row r="439" spans="1:9" x14ac:dyDescent="0.3">
      <c r="A439" s="1" t="s">
        <v>468</v>
      </c>
      <c r="B439" s="1" t="s">
        <v>28</v>
      </c>
      <c r="C439" s="2">
        <v>43292</v>
      </c>
      <c r="D439" s="1" t="s">
        <v>14</v>
      </c>
      <c r="E439" s="1">
        <v>11</v>
      </c>
      <c r="F439" s="1">
        <v>40</v>
      </c>
      <c r="G439" s="1">
        <v>440</v>
      </c>
      <c r="H439" s="1">
        <v>0.05</v>
      </c>
      <c r="I439" s="1" t="s">
        <v>26</v>
      </c>
    </row>
    <row r="440" spans="1:9" x14ac:dyDescent="0.3">
      <c r="A440" s="1" t="s">
        <v>469</v>
      </c>
      <c r="B440" s="1" t="s">
        <v>22</v>
      </c>
      <c r="C440" s="2">
        <v>43292</v>
      </c>
      <c r="D440" s="1" t="s">
        <v>29</v>
      </c>
      <c r="E440" s="1">
        <v>14</v>
      </c>
      <c r="F440" s="1">
        <v>16</v>
      </c>
      <c r="G440" s="1">
        <v>224</v>
      </c>
      <c r="H440" s="1">
        <v>0.01</v>
      </c>
      <c r="I440" s="1" t="s">
        <v>30</v>
      </c>
    </row>
    <row r="441" spans="1:9" x14ac:dyDescent="0.3">
      <c r="A441" s="1" t="s">
        <v>470</v>
      </c>
      <c r="B441" s="1" t="s">
        <v>25</v>
      </c>
      <c r="C441" s="2">
        <v>43292</v>
      </c>
      <c r="D441" s="1" t="s">
        <v>17</v>
      </c>
      <c r="E441" s="1">
        <v>2</v>
      </c>
      <c r="F441" s="1">
        <v>230</v>
      </c>
      <c r="G441" s="1">
        <v>460</v>
      </c>
      <c r="H441" s="1">
        <v>0.08</v>
      </c>
      <c r="I441" s="1" t="s">
        <v>33</v>
      </c>
    </row>
    <row r="442" spans="1:9" x14ac:dyDescent="0.3">
      <c r="A442" s="1" t="s">
        <v>471</v>
      </c>
      <c r="B442" s="1" t="s">
        <v>9</v>
      </c>
      <c r="C442" s="2">
        <v>43292</v>
      </c>
      <c r="D442" s="1" t="s">
        <v>29</v>
      </c>
      <c r="E442" s="1">
        <v>20</v>
      </c>
      <c r="F442" s="1">
        <v>16</v>
      </c>
      <c r="G442" s="1">
        <v>320</v>
      </c>
      <c r="H442" s="1">
        <v>0.11</v>
      </c>
      <c r="I442" s="1" t="s">
        <v>35</v>
      </c>
    </row>
    <row r="443" spans="1:9" x14ac:dyDescent="0.3">
      <c r="A443" s="1" t="s">
        <v>472</v>
      </c>
      <c r="B443" s="1" t="s">
        <v>22</v>
      </c>
      <c r="C443" s="2">
        <v>43292</v>
      </c>
      <c r="D443" s="1" t="s">
        <v>29</v>
      </c>
      <c r="E443" s="1">
        <v>6</v>
      </c>
      <c r="F443" s="1">
        <v>16</v>
      </c>
      <c r="G443" s="1">
        <v>96</v>
      </c>
      <c r="H443" s="1">
        <v>0.06</v>
      </c>
      <c r="I443" s="1" t="s">
        <v>37</v>
      </c>
    </row>
    <row r="444" spans="1:9" x14ac:dyDescent="0.3">
      <c r="A444" s="1" t="s">
        <v>473</v>
      </c>
      <c r="B444" s="1" t="s">
        <v>25</v>
      </c>
      <c r="C444" s="2">
        <v>43292</v>
      </c>
      <c r="D444" s="1" t="s">
        <v>10</v>
      </c>
      <c r="E444" s="1">
        <v>17</v>
      </c>
      <c r="F444" s="1">
        <v>80</v>
      </c>
      <c r="G444" s="1">
        <v>1360</v>
      </c>
      <c r="H444" s="1">
        <v>0.05</v>
      </c>
      <c r="I444" s="1" t="s">
        <v>39</v>
      </c>
    </row>
    <row r="445" spans="1:9" x14ac:dyDescent="0.3">
      <c r="A445" s="1" t="s">
        <v>474</v>
      </c>
      <c r="B445" s="1" t="s">
        <v>9</v>
      </c>
      <c r="C445" s="2">
        <v>43292</v>
      </c>
      <c r="D445" s="1" t="s">
        <v>14</v>
      </c>
      <c r="E445" s="1">
        <v>2</v>
      </c>
      <c r="F445" s="1">
        <v>40</v>
      </c>
      <c r="G445" s="1">
        <v>80</v>
      </c>
      <c r="H445" s="1">
        <v>0.12</v>
      </c>
      <c r="I445" s="1" t="s">
        <v>41</v>
      </c>
    </row>
    <row r="446" spans="1:9" x14ac:dyDescent="0.3">
      <c r="A446" s="1" t="s">
        <v>475</v>
      </c>
      <c r="B446" s="1" t="s">
        <v>9</v>
      </c>
      <c r="C446" s="2">
        <v>43292</v>
      </c>
      <c r="D446" s="1" t="s">
        <v>29</v>
      </c>
      <c r="E446" s="1">
        <v>7</v>
      </c>
      <c r="F446" s="1">
        <v>16</v>
      </c>
      <c r="G446" s="1">
        <v>112</v>
      </c>
      <c r="H446" s="1">
        <v>0.12</v>
      </c>
      <c r="I446" s="1" t="s">
        <v>11</v>
      </c>
    </row>
    <row r="447" spans="1:9" x14ac:dyDescent="0.3">
      <c r="A447" s="1" t="s">
        <v>476</v>
      </c>
      <c r="B447" s="1" t="s">
        <v>9</v>
      </c>
      <c r="C447" s="2">
        <v>43292</v>
      </c>
      <c r="D447" s="1" t="s">
        <v>32</v>
      </c>
      <c r="E447" s="1">
        <v>7</v>
      </c>
      <c r="F447" s="1">
        <v>150</v>
      </c>
      <c r="G447" s="1">
        <v>1050</v>
      </c>
      <c r="H447" s="1">
        <v>0.02</v>
      </c>
      <c r="I447" s="1" t="s">
        <v>15</v>
      </c>
    </row>
    <row r="448" spans="1:9" x14ac:dyDescent="0.3">
      <c r="A448" s="1" t="s">
        <v>477</v>
      </c>
      <c r="B448" s="1" t="s">
        <v>9</v>
      </c>
      <c r="C448" s="2">
        <v>43292</v>
      </c>
      <c r="D448" s="1" t="s">
        <v>10</v>
      </c>
      <c r="E448" s="1">
        <v>20</v>
      </c>
      <c r="F448" s="1">
        <v>80</v>
      </c>
      <c r="G448" s="1">
        <v>1600</v>
      </c>
      <c r="H448" s="1">
        <v>0.01</v>
      </c>
      <c r="I448" s="1" t="s">
        <v>18</v>
      </c>
    </row>
    <row r="449" spans="1:9" x14ac:dyDescent="0.3">
      <c r="A449" s="1" t="s">
        <v>478</v>
      </c>
      <c r="B449" s="1" t="s">
        <v>25</v>
      </c>
      <c r="C449" s="2">
        <v>43292</v>
      </c>
      <c r="D449" s="1" t="s">
        <v>10</v>
      </c>
      <c r="E449" s="1">
        <v>11</v>
      </c>
      <c r="F449" s="1">
        <v>80</v>
      </c>
      <c r="G449" s="1">
        <v>880</v>
      </c>
      <c r="H449" s="1">
        <v>0.01</v>
      </c>
      <c r="I449" s="1" t="s">
        <v>46</v>
      </c>
    </row>
    <row r="450" spans="1:9" x14ac:dyDescent="0.3">
      <c r="A450" s="1" t="s">
        <v>479</v>
      </c>
      <c r="B450" s="1" t="s">
        <v>22</v>
      </c>
      <c r="C450" s="2">
        <v>43292</v>
      </c>
      <c r="D450" s="1" t="s">
        <v>10</v>
      </c>
      <c r="E450" s="1">
        <v>10</v>
      </c>
      <c r="F450" s="1">
        <v>80</v>
      </c>
      <c r="G450" s="1">
        <v>800</v>
      </c>
      <c r="H450" s="1">
        <v>0.08</v>
      </c>
      <c r="I450" s="1" t="s">
        <v>23</v>
      </c>
    </row>
    <row r="451" spans="1:9" x14ac:dyDescent="0.3">
      <c r="A451" s="1" t="s">
        <v>480</v>
      </c>
      <c r="B451" s="1" t="s">
        <v>13</v>
      </c>
      <c r="C451" s="2">
        <v>43293</v>
      </c>
      <c r="D451" s="1" t="s">
        <v>10</v>
      </c>
      <c r="E451" s="1">
        <v>5</v>
      </c>
      <c r="F451" s="1">
        <v>80</v>
      </c>
      <c r="G451" s="1">
        <v>400</v>
      </c>
      <c r="H451" s="1">
        <v>0.04</v>
      </c>
      <c r="I451" s="1" t="s">
        <v>26</v>
      </c>
    </row>
    <row r="452" spans="1:9" x14ac:dyDescent="0.3">
      <c r="A452" s="1" t="s">
        <v>481</v>
      </c>
      <c r="B452" s="1" t="s">
        <v>25</v>
      </c>
      <c r="C452" s="2">
        <v>43293</v>
      </c>
      <c r="D452" s="1" t="s">
        <v>10</v>
      </c>
      <c r="E452" s="1">
        <v>4</v>
      </c>
      <c r="F452" s="1">
        <v>80</v>
      </c>
      <c r="G452" s="1">
        <v>320</v>
      </c>
      <c r="H452" s="1">
        <v>0.11</v>
      </c>
      <c r="I452" s="1" t="s">
        <v>30</v>
      </c>
    </row>
    <row r="453" spans="1:9" x14ac:dyDescent="0.3">
      <c r="A453" s="1" t="s">
        <v>482</v>
      </c>
      <c r="B453" s="1" t="s">
        <v>22</v>
      </c>
      <c r="C453" s="2">
        <v>43293</v>
      </c>
      <c r="D453" s="1" t="s">
        <v>29</v>
      </c>
      <c r="E453" s="1">
        <v>3</v>
      </c>
      <c r="F453" s="1">
        <v>16</v>
      </c>
      <c r="G453" s="1">
        <v>48</v>
      </c>
      <c r="H453" s="1">
        <v>0.05</v>
      </c>
      <c r="I453" s="1" t="s">
        <v>33</v>
      </c>
    </row>
    <row r="454" spans="1:9" x14ac:dyDescent="0.3">
      <c r="A454" s="1" t="s">
        <v>483</v>
      </c>
      <c r="B454" s="1" t="s">
        <v>9</v>
      </c>
      <c r="C454" s="2">
        <v>43293</v>
      </c>
      <c r="D454" s="1" t="s">
        <v>10</v>
      </c>
      <c r="E454" s="1">
        <v>9</v>
      </c>
      <c r="F454" s="1">
        <v>80</v>
      </c>
      <c r="G454" s="1">
        <v>720</v>
      </c>
      <c r="H454" s="1">
        <v>0.04</v>
      </c>
      <c r="I454" s="1" t="s">
        <v>35</v>
      </c>
    </row>
    <row r="455" spans="1:9" x14ac:dyDescent="0.3">
      <c r="A455" s="1" t="s">
        <v>484</v>
      </c>
      <c r="B455" s="1" t="s">
        <v>28</v>
      </c>
      <c r="C455" s="2">
        <v>43293</v>
      </c>
      <c r="D455" s="1" t="s">
        <v>10</v>
      </c>
      <c r="E455" s="1">
        <v>16</v>
      </c>
      <c r="F455" s="1">
        <v>80</v>
      </c>
      <c r="G455" s="1">
        <v>1280</v>
      </c>
      <c r="H455" s="1">
        <v>0.09</v>
      </c>
      <c r="I455" s="1" t="s">
        <v>37</v>
      </c>
    </row>
    <row r="456" spans="1:9" x14ac:dyDescent="0.3">
      <c r="A456" s="1" t="s">
        <v>485</v>
      </c>
      <c r="B456" s="1" t="s">
        <v>13</v>
      </c>
      <c r="C456" s="2">
        <v>43294</v>
      </c>
      <c r="D456" s="1" t="s">
        <v>29</v>
      </c>
      <c r="E456" s="1">
        <v>7</v>
      </c>
      <c r="F456" s="1">
        <v>16</v>
      </c>
      <c r="G456" s="1">
        <v>112</v>
      </c>
      <c r="H456" s="1">
        <v>0.08</v>
      </c>
      <c r="I456" s="1" t="s">
        <v>39</v>
      </c>
    </row>
    <row r="457" spans="1:9" x14ac:dyDescent="0.3">
      <c r="A457" s="1" t="s">
        <v>486</v>
      </c>
      <c r="B457" s="1" t="s">
        <v>13</v>
      </c>
      <c r="C457" s="2">
        <v>43294</v>
      </c>
      <c r="D457" s="1" t="s">
        <v>32</v>
      </c>
      <c r="E457" s="1">
        <v>16</v>
      </c>
      <c r="F457" s="1">
        <v>150</v>
      </c>
      <c r="G457" s="1">
        <v>2400</v>
      </c>
      <c r="H457" s="1">
        <v>0.05</v>
      </c>
      <c r="I457" s="1" t="s">
        <v>41</v>
      </c>
    </row>
    <row r="458" spans="1:9" x14ac:dyDescent="0.3">
      <c r="A458" s="1" t="s">
        <v>487</v>
      </c>
      <c r="B458" s="1" t="s">
        <v>25</v>
      </c>
      <c r="C458" s="2">
        <v>43294</v>
      </c>
      <c r="D458" s="1" t="s">
        <v>29</v>
      </c>
      <c r="E458" s="1">
        <v>10</v>
      </c>
      <c r="F458" s="1">
        <v>16</v>
      </c>
      <c r="G458" s="1">
        <v>160</v>
      </c>
      <c r="H458" s="1">
        <v>0.04</v>
      </c>
      <c r="I458" s="1" t="s">
        <v>11</v>
      </c>
    </row>
    <row r="459" spans="1:9" x14ac:dyDescent="0.3">
      <c r="A459" s="1" t="s">
        <v>488</v>
      </c>
      <c r="B459" s="1" t="s">
        <v>13</v>
      </c>
      <c r="C459" s="2">
        <v>43294</v>
      </c>
      <c r="D459" s="1" t="s">
        <v>14</v>
      </c>
      <c r="E459" s="1">
        <v>4</v>
      </c>
      <c r="F459" s="1">
        <v>40</v>
      </c>
      <c r="G459" s="1">
        <v>160</v>
      </c>
      <c r="H459" s="1">
        <v>0.03</v>
      </c>
      <c r="I459" s="1" t="s">
        <v>15</v>
      </c>
    </row>
    <row r="460" spans="1:9" x14ac:dyDescent="0.3">
      <c r="A460" s="1" t="s">
        <v>489</v>
      </c>
      <c r="B460" s="1" t="s">
        <v>13</v>
      </c>
      <c r="C460" s="2">
        <v>43294</v>
      </c>
      <c r="D460" s="1" t="s">
        <v>14</v>
      </c>
      <c r="E460" s="1">
        <v>15</v>
      </c>
      <c r="F460" s="1">
        <v>40</v>
      </c>
      <c r="G460" s="1">
        <v>600</v>
      </c>
      <c r="H460" s="1">
        <v>0.02</v>
      </c>
      <c r="I460" s="1" t="s">
        <v>18</v>
      </c>
    </row>
    <row r="461" spans="1:9" x14ac:dyDescent="0.3">
      <c r="A461" s="1" t="s">
        <v>490</v>
      </c>
      <c r="B461" s="1" t="s">
        <v>22</v>
      </c>
      <c r="C461" s="2">
        <v>43294</v>
      </c>
      <c r="D461" s="1" t="s">
        <v>10</v>
      </c>
      <c r="E461" s="1">
        <v>6</v>
      </c>
      <c r="F461" s="1">
        <v>80</v>
      </c>
      <c r="G461" s="1">
        <v>480</v>
      </c>
      <c r="H461" s="1">
        <v>0.09</v>
      </c>
      <c r="I461" s="1" t="s">
        <v>46</v>
      </c>
    </row>
    <row r="462" spans="1:9" x14ac:dyDescent="0.3">
      <c r="A462" s="1" t="s">
        <v>491</v>
      </c>
      <c r="B462" s="1" t="s">
        <v>9</v>
      </c>
      <c r="C462" s="2">
        <v>43294</v>
      </c>
      <c r="D462" s="1" t="s">
        <v>32</v>
      </c>
      <c r="E462" s="1">
        <v>20</v>
      </c>
      <c r="F462" s="1">
        <v>150</v>
      </c>
      <c r="G462" s="1">
        <v>3000</v>
      </c>
      <c r="H462" s="1">
        <v>0.01</v>
      </c>
      <c r="I462" s="1" t="s">
        <v>23</v>
      </c>
    </row>
    <row r="463" spans="1:9" x14ac:dyDescent="0.3">
      <c r="A463" s="1" t="s">
        <v>492</v>
      </c>
      <c r="B463" s="1" t="s">
        <v>9</v>
      </c>
      <c r="C463" s="2">
        <v>43294</v>
      </c>
      <c r="D463" s="1" t="s">
        <v>29</v>
      </c>
      <c r="E463" s="1">
        <v>7</v>
      </c>
      <c r="F463" s="1">
        <v>16</v>
      </c>
      <c r="G463" s="1">
        <v>112</v>
      </c>
      <c r="H463" s="1">
        <v>0.08</v>
      </c>
      <c r="I463" s="1" t="s">
        <v>26</v>
      </c>
    </row>
    <row r="464" spans="1:9" x14ac:dyDescent="0.3">
      <c r="A464" s="1" t="s">
        <v>493</v>
      </c>
      <c r="B464" s="1" t="s">
        <v>13</v>
      </c>
      <c r="C464" s="2">
        <v>43294</v>
      </c>
      <c r="D464" s="1" t="s">
        <v>10</v>
      </c>
      <c r="E464" s="1">
        <v>2</v>
      </c>
      <c r="F464" s="1">
        <v>80</v>
      </c>
      <c r="G464" s="1">
        <v>160</v>
      </c>
      <c r="H464" s="1">
        <v>7.0000000000000007E-2</v>
      </c>
      <c r="I464" s="1" t="s">
        <v>30</v>
      </c>
    </row>
    <row r="465" spans="1:9" x14ac:dyDescent="0.3">
      <c r="A465" s="1" t="s">
        <v>494</v>
      </c>
      <c r="B465" s="1" t="s">
        <v>13</v>
      </c>
      <c r="C465" s="2">
        <v>43294</v>
      </c>
      <c r="D465" s="1" t="s">
        <v>14</v>
      </c>
      <c r="E465" s="1">
        <v>23</v>
      </c>
      <c r="F465" s="1">
        <v>40</v>
      </c>
      <c r="G465" s="1">
        <v>920</v>
      </c>
      <c r="H465" s="1">
        <v>0.06</v>
      </c>
      <c r="I465" s="1" t="s">
        <v>33</v>
      </c>
    </row>
    <row r="466" spans="1:9" x14ac:dyDescent="0.3">
      <c r="A466" s="1" t="s">
        <v>495</v>
      </c>
      <c r="B466" s="1" t="s">
        <v>9</v>
      </c>
      <c r="C466" s="2">
        <v>43294</v>
      </c>
      <c r="D466" s="1" t="s">
        <v>29</v>
      </c>
      <c r="E466" s="1">
        <v>12</v>
      </c>
      <c r="F466" s="1">
        <v>16</v>
      </c>
      <c r="G466" s="1">
        <v>192</v>
      </c>
      <c r="H466" s="1">
        <v>0.11</v>
      </c>
      <c r="I466" s="1" t="s">
        <v>35</v>
      </c>
    </row>
    <row r="467" spans="1:9" x14ac:dyDescent="0.3">
      <c r="A467" s="1" t="s">
        <v>496</v>
      </c>
      <c r="B467" s="1" t="s">
        <v>25</v>
      </c>
      <c r="C467" s="2">
        <v>43294</v>
      </c>
      <c r="D467" s="1" t="s">
        <v>17</v>
      </c>
      <c r="E467" s="1">
        <v>2</v>
      </c>
      <c r="F467" s="1">
        <v>230</v>
      </c>
      <c r="G467" s="1">
        <v>460</v>
      </c>
      <c r="H467" s="1">
        <v>0.09</v>
      </c>
      <c r="I467" s="1" t="s">
        <v>37</v>
      </c>
    </row>
    <row r="468" spans="1:9" x14ac:dyDescent="0.3">
      <c r="A468" s="1" t="s">
        <v>497</v>
      </c>
      <c r="B468" s="1" t="s">
        <v>9</v>
      </c>
      <c r="C468" s="2">
        <v>43294</v>
      </c>
      <c r="D468" s="1" t="s">
        <v>32</v>
      </c>
      <c r="E468" s="1">
        <v>4</v>
      </c>
      <c r="F468" s="1">
        <v>150</v>
      </c>
      <c r="G468" s="1">
        <v>600</v>
      </c>
      <c r="H468" s="1">
        <v>0.06</v>
      </c>
      <c r="I468" s="1" t="s">
        <v>39</v>
      </c>
    </row>
    <row r="469" spans="1:9" x14ac:dyDescent="0.3">
      <c r="A469" s="1" t="s">
        <v>498</v>
      </c>
      <c r="B469" s="1" t="s">
        <v>9</v>
      </c>
      <c r="C469" s="2">
        <v>43294</v>
      </c>
      <c r="D469" s="1" t="s">
        <v>14</v>
      </c>
      <c r="E469" s="1">
        <v>23</v>
      </c>
      <c r="F469" s="1">
        <v>40</v>
      </c>
      <c r="G469" s="1">
        <v>920</v>
      </c>
      <c r="H469" s="1">
        <v>7.0000000000000007E-2</v>
      </c>
      <c r="I469" s="1" t="s">
        <v>41</v>
      </c>
    </row>
    <row r="470" spans="1:9" x14ac:dyDescent="0.3">
      <c r="A470" s="1" t="s">
        <v>499</v>
      </c>
      <c r="B470" s="1" t="s">
        <v>28</v>
      </c>
      <c r="C470" s="2">
        <v>43294</v>
      </c>
      <c r="D470" s="1" t="s">
        <v>29</v>
      </c>
      <c r="E470" s="1">
        <v>2</v>
      </c>
      <c r="F470" s="1">
        <v>16</v>
      </c>
      <c r="G470" s="1">
        <v>32</v>
      </c>
      <c r="H470" s="1">
        <v>0.04</v>
      </c>
      <c r="I470" s="1" t="s">
        <v>11</v>
      </c>
    </row>
    <row r="471" spans="1:9" x14ac:dyDescent="0.3">
      <c r="A471" s="1" t="s">
        <v>500</v>
      </c>
      <c r="B471" s="1" t="s">
        <v>25</v>
      </c>
      <c r="C471" s="2">
        <v>43294</v>
      </c>
      <c r="D471" s="1" t="s">
        <v>32</v>
      </c>
      <c r="E471" s="1">
        <v>7</v>
      </c>
      <c r="F471" s="1">
        <v>150</v>
      </c>
      <c r="G471" s="1">
        <v>1050</v>
      </c>
      <c r="H471" s="1">
        <v>0.05</v>
      </c>
      <c r="I471" s="1" t="s">
        <v>15</v>
      </c>
    </row>
    <row r="472" spans="1:9" x14ac:dyDescent="0.3">
      <c r="A472" s="1" t="s">
        <v>501</v>
      </c>
      <c r="B472" s="1" t="s">
        <v>9</v>
      </c>
      <c r="C472" s="2">
        <v>43295</v>
      </c>
      <c r="D472" s="1" t="s">
        <v>14</v>
      </c>
      <c r="E472" s="1">
        <v>15</v>
      </c>
      <c r="F472" s="1">
        <v>40</v>
      </c>
      <c r="G472" s="1">
        <v>600</v>
      </c>
      <c r="H472" s="1">
        <v>0.06</v>
      </c>
      <c r="I472" s="1" t="s">
        <v>18</v>
      </c>
    </row>
    <row r="473" spans="1:9" x14ac:dyDescent="0.3">
      <c r="A473" s="1" t="s">
        <v>502</v>
      </c>
      <c r="B473" s="1" t="s">
        <v>25</v>
      </c>
      <c r="C473" s="2">
        <v>43295</v>
      </c>
      <c r="D473" s="1" t="s">
        <v>10</v>
      </c>
      <c r="E473" s="1">
        <v>16</v>
      </c>
      <c r="F473" s="1">
        <v>80</v>
      </c>
      <c r="G473" s="1">
        <v>1280</v>
      </c>
      <c r="H473" s="1">
        <v>0.05</v>
      </c>
      <c r="I473" s="1" t="s">
        <v>46</v>
      </c>
    </row>
    <row r="474" spans="1:9" x14ac:dyDescent="0.3">
      <c r="A474" s="1" t="s">
        <v>503</v>
      </c>
      <c r="B474" s="1" t="s">
        <v>28</v>
      </c>
      <c r="C474" s="2">
        <v>43295</v>
      </c>
      <c r="D474" s="1" t="s">
        <v>14</v>
      </c>
      <c r="E474" s="1">
        <v>16</v>
      </c>
      <c r="F474" s="1">
        <v>40</v>
      </c>
      <c r="G474" s="1">
        <v>640</v>
      </c>
      <c r="H474" s="1">
        <v>0.11</v>
      </c>
      <c r="I474" s="1" t="s">
        <v>23</v>
      </c>
    </row>
    <row r="475" spans="1:9" x14ac:dyDescent="0.3">
      <c r="A475" s="1" t="s">
        <v>504</v>
      </c>
      <c r="B475" s="1" t="s">
        <v>28</v>
      </c>
      <c r="C475" s="2">
        <v>43295</v>
      </c>
      <c r="D475" s="1" t="s">
        <v>29</v>
      </c>
      <c r="E475" s="1">
        <v>23</v>
      </c>
      <c r="F475" s="1">
        <v>16</v>
      </c>
      <c r="G475" s="1">
        <v>368</v>
      </c>
      <c r="H475" s="1">
        <v>0.01</v>
      </c>
      <c r="I475" s="1" t="s">
        <v>26</v>
      </c>
    </row>
    <row r="476" spans="1:9" x14ac:dyDescent="0.3">
      <c r="A476" s="1" t="s">
        <v>505</v>
      </c>
      <c r="B476" s="1" t="s">
        <v>13</v>
      </c>
      <c r="C476" s="2">
        <v>43295</v>
      </c>
      <c r="D476" s="1" t="s">
        <v>17</v>
      </c>
      <c r="E476" s="1">
        <v>12</v>
      </c>
      <c r="F476" s="1">
        <v>230</v>
      </c>
      <c r="G476" s="1">
        <v>2760</v>
      </c>
      <c r="H476" s="1">
        <v>0.03</v>
      </c>
      <c r="I476" s="1" t="s">
        <v>30</v>
      </c>
    </row>
    <row r="477" spans="1:9" x14ac:dyDescent="0.3">
      <c r="A477" s="1" t="s">
        <v>506</v>
      </c>
      <c r="B477" s="1" t="s">
        <v>9</v>
      </c>
      <c r="C477" s="2">
        <v>43295</v>
      </c>
      <c r="D477" s="1" t="s">
        <v>29</v>
      </c>
      <c r="E477" s="1">
        <v>4</v>
      </c>
      <c r="F477" s="1">
        <v>16</v>
      </c>
      <c r="G477" s="1">
        <v>64</v>
      </c>
      <c r="H477" s="1">
        <v>0.12</v>
      </c>
      <c r="I477" s="1" t="s">
        <v>33</v>
      </c>
    </row>
    <row r="478" spans="1:9" x14ac:dyDescent="0.3">
      <c r="A478" s="1" t="s">
        <v>507</v>
      </c>
      <c r="B478" s="1" t="s">
        <v>25</v>
      </c>
      <c r="C478" s="2">
        <v>43295</v>
      </c>
      <c r="D478" s="1" t="s">
        <v>32</v>
      </c>
      <c r="E478" s="1">
        <v>3</v>
      </c>
      <c r="F478" s="1">
        <v>150</v>
      </c>
      <c r="G478" s="1">
        <v>450</v>
      </c>
      <c r="H478" s="1">
        <v>0.01</v>
      </c>
      <c r="I478" s="1" t="s">
        <v>35</v>
      </c>
    </row>
    <row r="479" spans="1:9" x14ac:dyDescent="0.3">
      <c r="A479" s="1" t="s">
        <v>508</v>
      </c>
      <c r="B479" s="1" t="s">
        <v>13</v>
      </c>
      <c r="C479" s="2">
        <v>43295</v>
      </c>
      <c r="D479" s="1" t="s">
        <v>32</v>
      </c>
      <c r="E479" s="1">
        <v>10</v>
      </c>
      <c r="F479" s="1">
        <v>150</v>
      </c>
      <c r="G479" s="1">
        <v>1500</v>
      </c>
      <c r="H479" s="1">
        <v>0.01</v>
      </c>
      <c r="I479" s="1" t="s">
        <v>37</v>
      </c>
    </row>
    <row r="480" spans="1:9" x14ac:dyDescent="0.3">
      <c r="A480" s="1" t="s">
        <v>509</v>
      </c>
      <c r="B480" s="1" t="s">
        <v>13</v>
      </c>
      <c r="C480" s="2">
        <v>43295</v>
      </c>
      <c r="D480" s="1" t="s">
        <v>10</v>
      </c>
      <c r="E480" s="1">
        <v>13</v>
      </c>
      <c r="F480" s="1">
        <v>80</v>
      </c>
      <c r="G480" s="1">
        <v>1040</v>
      </c>
      <c r="H480" s="1">
        <v>0.06</v>
      </c>
      <c r="I480" s="1" t="s">
        <v>39</v>
      </c>
    </row>
    <row r="481" spans="1:9" x14ac:dyDescent="0.3">
      <c r="A481" s="1" t="s">
        <v>510</v>
      </c>
      <c r="B481" s="1" t="s">
        <v>22</v>
      </c>
      <c r="C481" s="2">
        <v>43295</v>
      </c>
      <c r="D481" s="1" t="s">
        <v>17</v>
      </c>
      <c r="E481" s="1">
        <v>15</v>
      </c>
      <c r="F481" s="1">
        <v>230</v>
      </c>
      <c r="G481" s="1">
        <v>3450</v>
      </c>
      <c r="H481" s="1">
        <v>0.04</v>
      </c>
      <c r="I481" s="1" t="s">
        <v>41</v>
      </c>
    </row>
    <row r="482" spans="1:9" x14ac:dyDescent="0.3">
      <c r="A482" s="1" t="s">
        <v>511</v>
      </c>
      <c r="B482" s="1" t="s">
        <v>9</v>
      </c>
      <c r="C482" s="2">
        <v>43295</v>
      </c>
      <c r="D482" s="1" t="s">
        <v>32</v>
      </c>
      <c r="E482" s="1">
        <v>23</v>
      </c>
      <c r="F482" s="1">
        <v>150</v>
      </c>
      <c r="G482" s="1">
        <v>3450</v>
      </c>
      <c r="H482" s="1">
        <v>0.1</v>
      </c>
      <c r="I482" s="1" t="s">
        <v>11</v>
      </c>
    </row>
    <row r="483" spans="1:9" x14ac:dyDescent="0.3">
      <c r="A483" s="1" t="s">
        <v>512</v>
      </c>
      <c r="B483" s="1" t="s">
        <v>13</v>
      </c>
      <c r="C483" s="2">
        <v>43295</v>
      </c>
      <c r="D483" s="1" t="s">
        <v>32</v>
      </c>
      <c r="E483" s="1">
        <v>15</v>
      </c>
      <c r="F483" s="1">
        <v>150</v>
      </c>
      <c r="G483" s="1">
        <v>2250</v>
      </c>
      <c r="H483" s="1">
        <v>0.12</v>
      </c>
      <c r="I483" s="1" t="s">
        <v>15</v>
      </c>
    </row>
    <row r="484" spans="1:9" x14ac:dyDescent="0.3">
      <c r="A484" s="1" t="s">
        <v>513</v>
      </c>
      <c r="B484" s="1" t="s">
        <v>22</v>
      </c>
      <c r="C484" s="2">
        <v>43295</v>
      </c>
      <c r="D484" s="1" t="s">
        <v>32</v>
      </c>
      <c r="E484" s="1">
        <v>20</v>
      </c>
      <c r="F484" s="1">
        <v>150</v>
      </c>
      <c r="G484" s="1">
        <v>3000</v>
      </c>
      <c r="H484" s="1">
        <v>0.12</v>
      </c>
      <c r="I484" s="1" t="s">
        <v>18</v>
      </c>
    </row>
    <row r="485" spans="1:9" x14ac:dyDescent="0.3">
      <c r="A485" s="1" t="s">
        <v>514</v>
      </c>
      <c r="B485" s="1" t="s">
        <v>25</v>
      </c>
      <c r="C485" s="2">
        <v>43295</v>
      </c>
      <c r="D485" s="1" t="s">
        <v>14</v>
      </c>
      <c r="E485" s="1">
        <v>13</v>
      </c>
      <c r="F485" s="1">
        <v>40</v>
      </c>
      <c r="G485" s="1">
        <v>520</v>
      </c>
      <c r="H485" s="1">
        <v>0.09</v>
      </c>
      <c r="I485" s="1" t="s">
        <v>46</v>
      </c>
    </row>
    <row r="486" spans="1:9" x14ac:dyDescent="0.3">
      <c r="A486" s="1" t="s">
        <v>515</v>
      </c>
      <c r="B486" s="1" t="s">
        <v>22</v>
      </c>
      <c r="C486" s="2">
        <v>43296</v>
      </c>
      <c r="D486" s="1" t="s">
        <v>29</v>
      </c>
      <c r="E486" s="1">
        <v>11</v>
      </c>
      <c r="F486" s="1">
        <v>16</v>
      </c>
      <c r="G486" s="1">
        <v>176</v>
      </c>
      <c r="H486" s="1">
        <v>0.04</v>
      </c>
      <c r="I486" s="1" t="s">
        <v>23</v>
      </c>
    </row>
    <row r="487" spans="1:9" x14ac:dyDescent="0.3">
      <c r="A487" s="1" t="s">
        <v>516</v>
      </c>
      <c r="B487" s="1" t="s">
        <v>22</v>
      </c>
      <c r="C487" s="2">
        <v>43296</v>
      </c>
      <c r="D487" s="1" t="s">
        <v>32</v>
      </c>
      <c r="E487" s="1">
        <v>20</v>
      </c>
      <c r="F487" s="1">
        <v>150</v>
      </c>
      <c r="G487" s="1">
        <v>3000</v>
      </c>
      <c r="H487" s="1">
        <v>0.04</v>
      </c>
      <c r="I487" s="1" t="s">
        <v>26</v>
      </c>
    </row>
    <row r="488" spans="1:9" x14ac:dyDescent="0.3">
      <c r="A488" s="1" t="s">
        <v>517</v>
      </c>
      <c r="B488" s="1" t="s">
        <v>9</v>
      </c>
      <c r="C488" s="2">
        <v>43296</v>
      </c>
      <c r="D488" s="1" t="s">
        <v>14</v>
      </c>
      <c r="E488" s="1">
        <v>18</v>
      </c>
      <c r="F488" s="1">
        <v>40</v>
      </c>
      <c r="G488" s="1">
        <v>720</v>
      </c>
      <c r="H488" s="1">
        <v>0.11</v>
      </c>
      <c r="I488" s="1" t="s">
        <v>30</v>
      </c>
    </row>
    <row r="489" spans="1:9" x14ac:dyDescent="0.3">
      <c r="A489" s="1" t="s">
        <v>518</v>
      </c>
      <c r="B489" s="1" t="s">
        <v>22</v>
      </c>
      <c r="C489" s="2">
        <v>43296</v>
      </c>
      <c r="D489" s="1" t="s">
        <v>14</v>
      </c>
      <c r="E489" s="1">
        <v>2</v>
      </c>
      <c r="F489" s="1">
        <v>40</v>
      </c>
      <c r="G489" s="1">
        <v>80</v>
      </c>
      <c r="H489" s="1">
        <v>0.03</v>
      </c>
      <c r="I489" s="1" t="s">
        <v>33</v>
      </c>
    </row>
    <row r="490" spans="1:9" x14ac:dyDescent="0.3">
      <c r="A490" s="1" t="s">
        <v>519</v>
      </c>
      <c r="B490" s="1" t="s">
        <v>25</v>
      </c>
      <c r="C490" s="2">
        <v>43296</v>
      </c>
      <c r="D490" s="1" t="s">
        <v>29</v>
      </c>
      <c r="E490" s="1">
        <v>15</v>
      </c>
      <c r="F490" s="1">
        <v>16</v>
      </c>
      <c r="G490" s="1">
        <v>240</v>
      </c>
      <c r="H490" s="1">
        <v>0.12</v>
      </c>
      <c r="I490" s="1" t="s">
        <v>35</v>
      </c>
    </row>
    <row r="491" spans="1:9" x14ac:dyDescent="0.3">
      <c r="A491" s="1" t="s">
        <v>520</v>
      </c>
      <c r="B491" s="1" t="s">
        <v>22</v>
      </c>
      <c r="C491" s="2">
        <v>43296</v>
      </c>
      <c r="D491" s="1" t="s">
        <v>29</v>
      </c>
      <c r="E491" s="1">
        <v>9</v>
      </c>
      <c r="F491" s="1">
        <v>16</v>
      </c>
      <c r="G491" s="1">
        <v>144</v>
      </c>
      <c r="H491" s="1">
        <v>0.05</v>
      </c>
      <c r="I491" s="1" t="s">
        <v>37</v>
      </c>
    </row>
    <row r="492" spans="1:9" x14ac:dyDescent="0.3">
      <c r="A492" s="1" t="s">
        <v>521</v>
      </c>
      <c r="B492" s="1" t="s">
        <v>28</v>
      </c>
      <c r="C492" s="2">
        <v>43296</v>
      </c>
      <c r="D492" s="1" t="s">
        <v>14</v>
      </c>
      <c r="E492" s="1">
        <v>7</v>
      </c>
      <c r="F492" s="1">
        <v>40</v>
      </c>
      <c r="G492" s="1">
        <v>280</v>
      </c>
      <c r="H492" s="1">
        <v>0.05</v>
      </c>
      <c r="I492" s="1" t="s">
        <v>11</v>
      </c>
    </row>
    <row r="493" spans="1:9" x14ac:dyDescent="0.3">
      <c r="A493" s="1" t="s">
        <v>522</v>
      </c>
      <c r="B493" s="1" t="s">
        <v>28</v>
      </c>
      <c r="C493" s="2">
        <v>43296</v>
      </c>
      <c r="D493" s="1" t="s">
        <v>32</v>
      </c>
      <c r="E493" s="1">
        <v>4</v>
      </c>
      <c r="F493" s="1">
        <v>150</v>
      </c>
      <c r="G493" s="1">
        <v>600</v>
      </c>
      <c r="H493" s="1">
        <v>0.05</v>
      </c>
      <c r="I493" s="1" t="s">
        <v>15</v>
      </c>
    </row>
    <row r="494" spans="1:9" x14ac:dyDescent="0.3">
      <c r="A494" s="1" t="s">
        <v>523</v>
      </c>
      <c r="B494" s="1" t="s">
        <v>9</v>
      </c>
      <c r="C494" s="2">
        <v>43296</v>
      </c>
      <c r="D494" s="1" t="s">
        <v>17</v>
      </c>
      <c r="E494" s="1">
        <v>15</v>
      </c>
      <c r="F494" s="1">
        <v>230</v>
      </c>
      <c r="G494" s="1">
        <v>3450</v>
      </c>
      <c r="H494" s="1">
        <v>0.05</v>
      </c>
      <c r="I494" s="1" t="s">
        <v>18</v>
      </c>
    </row>
    <row r="495" spans="1:9" x14ac:dyDescent="0.3">
      <c r="A495" s="1" t="s">
        <v>524</v>
      </c>
      <c r="B495" s="1" t="s">
        <v>13</v>
      </c>
      <c r="C495" s="2">
        <v>43297</v>
      </c>
      <c r="D495" s="1" t="s">
        <v>14</v>
      </c>
      <c r="E495" s="1">
        <v>12</v>
      </c>
      <c r="F495" s="1">
        <v>40</v>
      </c>
      <c r="G495" s="1">
        <v>480</v>
      </c>
      <c r="H495" s="1">
        <v>0.1</v>
      </c>
      <c r="I495" s="1" t="s">
        <v>46</v>
      </c>
    </row>
    <row r="496" spans="1:9" x14ac:dyDescent="0.3">
      <c r="A496" s="1" t="s">
        <v>525</v>
      </c>
      <c r="B496" s="1" t="s">
        <v>25</v>
      </c>
      <c r="C496" s="2">
        <v>43297</v>
      </c>
      <c r="D496" s="1" t="s">
        <v>17</v>
      </c>
      <c r="E496" s="1">
        <v>23</v>
      </c>
      <c r="F496" s="1">
        <v>230</v>
      </c>
      <c r="G496" s="1">
        <v>5290</v>
      </c>
      <c r="H496" s="1">
        <v>0.06</v>
      </c>
      <c r="I496" s="1" t="s">
        <v>23</v>
      </c>
    </row>
    <row r="497" spans="1:9" x14ac:dyDescent="0.3">
      <c r="A497" s="1" t="s">
        <v>526</v>
      </c>
      <c r="B497" s="1" t="s">
        <v>9</v>
      </c>
      <c r="C497" s="2">
        <v>43297</v>
      </c>
      <c r="D497" s="1" t="s">
        <v>29</v>
      </c>
      <c r="E497" s="1">
        <v>11</v>
      </c>
      <c r="F497" s="1">
        <v>16</v>
      </c>
      <c r="G497" s="1">
        <v>176</v>
      </c>
      <c r="H497" s="1">
        <v>0.09</v>
      </c>
      <c r="I497" s="1" t="s">
        <v>26</v>
      </c>
    </row>
    <row r="498" spans="1:9" x14ac:dyDescent="0.3">
      <c r="A498" s="1" t="s">
        <v>527</v>
      </c>
      <c r="B498" s="1" t="s">
        <v>9</v>
      </c>
      <c r="C498" s="2">
        <v>43297</v>
      </c>
      <c r="D498" s="1" t="s">
        <v>32</v>
      </c>
      <c r="E498" s="1">
        <v>9</v>
      </c>
      <c r="F498" s="1">
        <v>150</v>
      </c>
      <c r="G498" s="1">
        <v>1350</v>
      </c>
      <c r="H498" s="1">
        <v>0.1</v>
      </c>
      <c r="I498" s="1" t="s">
        <v>30</v>
      </c>
    </row>
    <row r="499" spans="1:9" x14ac:dyDescent="0.3">
      <c r="A499" s="1" t="s">
        <v>528</v>
      </c>
      <c r="B499" s="1" t="s">
        <v>9</v>
      </c>
      <c r="C499" s="2">
        <v>43297</v>
      </c>
      <c r="D499" s="1" t="s">
        <v>10</v>
      </c>
      <c r="E499" s="1">
        <v>18</v>
      </c>
      <c r="F499" s="1">
        <v>80</v>
      </c>
      <c r="G499" s="1">
        <v>1440</v>
      </c>
      <c r="H499" s="1">
        <v>0.02</v>
      </c>
      <c r="I499" s="1" t="s">
        <v>33</v>
      </c>
    </row>
    <row r="500" spans="1:9" x14ac:dyDescent="0.3">
      <c r="A500" s="1" t="s">
        <v>529</v>
      </c>
      <c r="B500" s="1" t="s">
        <v>28</v>
      </c>
      <c r="C500" s="2">
        <v>43297</v>
      </c>
      <c r="D500" s="1" t="s">
        <v>14</v>
      </c>
      <c r="E500" s="1">
        <v>23</v>
      </c>
      <c r="F500" s="1">
        <v>40</v>
      </c>
      <c r="G500" s="1">
        <v>920</v>
      </c>
      <c r="H500" s="1">
        <v>0.04</v>
      </c>
      <c r="I500" s="1" t="s">
        <v>35</v>
      </c>
    </row>
    <row r="501" spans="1:9" x14ac:dyDescent="0.3">
      <c r="A501" s="1" t="s">
        <v>530</v>
      </c>
      <c r="B501" s="1" t="s">
        <v>28</v>
      </c>
      <c r="C501" s="2">
        <v>43297</v>
      </c>
      <c r="D501" s="1" t="s">
        <v>29</v>
      </c>
      <c r="E501" s="1">
        <v>17</v>
      </c>
      <c r="F501" s="1">
        <v>16</v>
      </c>
      <c r="G501" s="1">
        <v>272</v>
      </c>
      <c r="H501" s="1">
        <v>0.1</v>
      </c>
      <c r="I501" s="1" t="s">
        <v>37</v>
      </c>
    </row>
    <row r="502" spans="1:9" x14ac:dyDescent="0.3">
      <c r="A502" s="1" t="s">
        <v>531</v>
      </c>
      <c r="B502" s="1" t="s">
        <v>28</v>
      </c>
      <c r="C502" s="2">
        <v>43297</v>
      </c>
      <c r="D502" s="1" t="s">
        <v>32</v>
      </c>
      <c r="E502" s="1">
        <v>17</v>
      </c>
      <c r="F502" s="1">
        <v>150</v>
      </c>
      <c r="G502" s="1">
        <v>2550</v>
      </c>
      <c r="H502" s="1">
        <v>0.02</v>
      </c>
      <c r="I502" s="1" t="s">
        <v>39</v>
      </c>
    </row>
    <row r="503" spans="1:9" x14ac:dyDescent="0.3">
      <c r="A503" s="1" t="s">
        <v>532</v>
      </c>
      <c r="B503" s="1" t="s">
        <v>25</v>
      </c>
      <c r="C503" s="2">
        <v>43297</v>
      </c>
      <c r="D503" s="1" t="s">
        <v>10</v>
      </c>
      <c r="E503" s="1">
        <v>21</v>
      </c>
      <c r="F503" s="1">
        <v>80</v>
      </c>
      <c r="G503" s="1">
        <v>1680</v>
      </c>
      <c r="H503" s="1">
        <v>0.02</v>
      </c>
      <c r="I503" s="1" t="s">
        <v>41</v>
      </c>
    </row>
    <row r="504" spans="1:9" x14ac:dyDescent="0.3">
      <c r="A504" s="1" t="s">
        <v>533</v>
      </c>
      <c r="B504" s="1" t="s">
        <v>25</v>
      </c>
      <c r="C504" s="2">
        <v>43297</v>
      </c>
      <c r="D504" s="1" t="s">
        <v>14</v>
      </c>
      <c r="E504" s="1">
        <v>11</v>
      </c>
      <c r="F504" s="1">
        <v>40</v>
      </c>
      <c r="G504" s="1">
        <v>440</v>
      </c>
      <c r="H504" s="1">
        <v>0.06</v>
      </c>
      <c r="I504" s="1" t="s">
        <v>11</v>
      </c>
    </row>
    <row r="505" spans="1:9" x14ac:dyDescent="0.3">
      <c r="A505" s="1" t="s">
        <v>534</v>
      </c>
      <c r="B505" s="1" t="s">
        <v>9</v>
      </c>
      <c r="C505" s="2">
        <v>43297</v>
      </c>
      <c r="D505" s="1" t="s">
        <v>14</v>
      </c>
      <c r="E505" s="1">
        <v>19</v>
      </c>
      <c r="F505" s="1">
        <v>40</v>
      </c>
      <c r="G505" s="1">
        <v>760</v>
      </c>
      <c r="H505" s="1">
        <v>0.04</v>
      </c>
      <c r="I505" s="1" t="s">
        <v>15</v>
      </c>
    </row>
    <row r="506" spans="1:9" x14ac:dyDescent="0.3">
      <c r="A506" s="1" t="s">
        <v>535</v>
      </c>
      <c r="B506" s="1" t="s">
        <v>9</v>
      </c>
      <c r="C506" s="2">
        <v>43297</v>
      </c>
      <c r="D506" s="1" t="s">
        <v>14</v>
      </c>
      <c r="E506" s="1">
        <v>23</v>
      </c>
      <c r="F506" s="1">
        <v>40</v>
      </c>
      <c r="G506" s="1">
        <v>920</v>
      </c>
      <c r="H506" s="1">
        <v>0.03</v>
      </c>
      <c r="I506" s="1" t="s">
        <v>18</v>
      </c>
    </row>
    <row r="507" spans="1:9" x14ac:dyDescent="0.3">
      <c r="A507" s="1" t="s">
        <v>536</v>
      </c>
      <c r="B507" s="1" t="s">
        <v>13</v>
      </c>
      <c r="C507" s="2">
        <v>43297</v>
      </c>
      <c r="D507" s="1" t="s">
        <v>17</v>
      </c>
      <c r="E507" s="1">
        <v>14</v>
      </c>
      <c r="F507" s="1">
        <v>230</v>
      </c>
      <c r="G507" s="1">
        <v>3220</v>
      </c>
      <c r="H507" s="1">
        <v>0.05</v>
      </c>
      <c r="I507" s="1" t="s">
        <v>46</v>
      </c>
    </row>
    <row r="508" spans="1:9" x14ac:dyDescent="0.3">
      <c r="A508" s="1" t="s">
        <v>537</v>
      </c>
      <c r="B508" s="1" t="s">
        <v>22</v>
      </c>
      <c r="C508" s="2">
        <v>43297</v>
      </c>
      <c r="D508" s="1" t="s">
        <v>14</v>
      </c>
      <c r="E508" s="1">
        <v>18</v>
      </c>
      <c r="F508" s="1">
        <v>40</v>
      </c>
      <c r="G508" s="1">
        <v>720</v>
      </c>
      <c r="H508" s="1">
        <v>0.03</v>
      </c>
      <c r="I508" s="1" t="s">
        <v>23</v>
      </c>
    </row>
    <row r="509" spans="1:9" x14ac:dyDescent="0.3">
      <c r="A509" s="1" t="s">
        <v>538</v>
      </c>
      <c r="B509" s="1" t="s">
        <v>13</v>
      </c>
      <c r="C509" s="2">
        <v>43297</v>
      </c>
      <c r="D509" s="1" t="s">
        <v>32</v>
      </c>
      <c r="E509" s="1">
        <v>2</v>
      </c>
      <c r="F509" s="1">
        <v>150</v>
      </c>
      <c r="G509" s="1">
        <v>300</v>
      </c>
      <c r="H509" s="1">
        <v>0.09</v>
      </c>
      <c r="I509" s="1" t="s">
        <v>26</v>
      </c>
    </row>
    <row r="510" spans="1:9" x14ac:dyDescent="0.3">
      <c r="A510" s="1" t="s">
        <v>539</v>
      </c>
      <c r="B510" s="1" t="s">
        <v>13</v>
      </c>
      <c r="C510" s="2">
        <v>43297</v>
      </c>
      <c r="D510" s="1" t="s">
        <v>17</v>
      </c>
      <c r="E510" s="1">
        <v>7</v>
      </c>
      <c r="F510" s="1">
        <v>230</v>
      </c>
      <c r="G510" s="1">
        <v>1610</v>
      </c>
      <c r="H510" s="1">
        <v>0.05</v>
      </c>
      <c r="I510" s="1" t="s">
        <v>30</v>
      </c>
    </row>
    <row r="511" spans="1:9" x14ac:dyDescent="0.3">
      <c r="A511" s="1" t="s">
        <v>540</v>
      </c>
      <c r="B511" s="1" t="s">
        <v>22</v>
      </c>
      <c r="C511" s="2">
        <v>43298</v>
      </c>
      <c r="D511" s="1" t="s">
        <v>32</v>
      </c>
      <c r="E511" s="1">
        <v>9</v>
      </c>
      <c r="F511" s="1">
        <v>150</v>
      </c>
      <c r="G511" s="1">
        <v>1350</v>
      </c>
      <c r="H511" s="1">
        <v>0.02</v>
      </c>
      <c r="I511" s="1" t="s">
        <v>33</v>
      </c>
    </row>
    <row r="512" spans="1:9" x14ac:dyDescent="0.3">
      <c r="A512" s="1" t="s">
        <v>541</v>
      </c>
      <c r="B512" s="1" t="s">
        <v>28</v>
      </c>
      <c r="C512" s="2">
        <v>43298</v>
      </c>
      <c r="D512" s="1" t="s">
        <v>14</v>
      </c>
      <c r="E512" s="1">
        <v>3</v>
      </c>
      <c r="F512" s="1">
        <v>40</v>
      </c>
      <c r="G512" s="1">
        <v>120</v>
      </c>
      <c r="H512" s="1">
        <v>0.03</v>
      </c>
      <c r="I512" s="1" t="s">
        <v>35</v>
      </c>
    </row>
    <row r="513" spans="1:9" x14ac:dyDescent="0.3">
      <c r="A513" s="1" t="s">
        <v>542</v>
      </c>
      <c r="B513" s="1" t="s">
        <v>25</v>
      </c>
      <c r="C513" s="2">
        <v>43298</v>
      </c>
      <c r="D513" s="1" t="s">
        <v>10</v>
      </c>
      <c r="E513" s="1">
        <v>2</v>
      </c>
      <c r="F513" s="1">
        <v>80</v>
      </c>
      <c r="G513" s="1">
        <v>160</v>
      </c>
      <c r="H513" s="1">
        <v>0.08</v>
      </c>
      <c r="I513" s="1" t="s">
        <v>37</v>
      </c>
    </row>
    <row r="514" spans="1:9" x14ac:dyDescent="0.3">
      <c r="A514" s="1" t="s">
        <v>543</v>
      </c>
      <c r="B514" s="1" t="s">
        <v>28</v>
      </c>
      <c r="C514" s="2">
        <v>43298</v>
      </c>
      <c r="D514" s="1" t="s">
        <v>29</v>
      </c>
      <c r="E514" s="1">
        <v>19</v>
      </c>
      <c r="F514" s="1">
        <v>16</v>
      </c>
      <c r="G514" s="1">
        <v>304</v>
      </c>
      <c r="H514" s="1">
        <v>0.02</v>
      </c>
      <c r="I514" s="1" t="s">
        <v>39</v>
      </c>
    </row>
    <row r="515" spans="1:9" x14ac:dyDescent="0.3">
      <c r="A515" s="1" t="s">
        <v>544</v>
      </c>
      <c r="B515" s="1" t="s">
        <v>13</v>
      </c>
      <c r="C515" s="2">
        <v>43298</v>
      </c>
      <c r="D515" s="1" t="s">
        <v>29</v>
      </c>
      <c r="E515" s="1">
        <v>21</v>
      </c>
      <c r="F515" s="1">
        <v>16</v>
      </c>
      <c r="G515" s="1">
        <v>336</v>
      </c>
      <c r="H515" s="1">
        <v>0.02</v>
      </c>
      <c r="I515" s="1" t="s">
        <v>41</v>
      </c>
    </row>
    <row r="516" spans="1:9" x14ac:dyDescent="0.3">
      <c r="A516" s="1" t="s">
        <v>545</v>
      </c>
      <c r="B516" s="1" t="s">
        <v>25</v>
      </c>
      <c r="C516" s="2">
        <v>43298</v>
      </c>
      <c r="D516" s="1" t="s">
        <v>10</v>
      </c>
      <c r="E516" s="1">
        <v>21</v>
      </c>
      <c r="F516" s="1">
        <v>80</v>
      </c>
      <c r="G516" s="1">
        <v>1680</v>
      </c>
      <c r="H516" s="1">
        <v>0.05</v>
      </c>
      <c r="I516" s="1" t="s">
        <v>11</v>
      </c>
    </row>
    <row r="517" spans="1:9" x14ac:dyDescent="0.3">
      <c r="A517" s="1" t="s">
        <v>546</v>
      </c>
      <c r="B517" s="1" t="s">
        <v>28</v>
      </c>
      <c r="C517" s="2">
        <v>43298</v>
      </c>
      <c r="D517" s="1" t="s">
        <v>17</v>
      </c>
      <c r="E517" s="1">
        <v>3</v>
      </c>
      <c r="F517" s="1">
        <v>230</v>
      </c>
      <c r="G517" s="1">
        <v>690</v>
      </c>
      <c r="H517" s="1">
        <v>0.1</v>
      </c>
      <c r="I517" s="1" t="s">
        <v>15</v>
      </c>
    </row>
    <row r="518" spans="1:9" x14ac:dyDescent="0.3">
      <c r="A518" s="1" t="s">
        <v>547</v>
      </c>
      <c r="B518" s="1" t="s">
        <v>22</v>
      </c>
      <c r="C518" s="2">
        <v>43298</v>
      </c>
      <c r="D518" s="1" t="s">
        <v>14</v>
      </c>
      <c r="E518" s="1">
        <v>4</v>
      </c>
      <c r="F518" s="1">
        <v>40</v>
      </c>
      <c r="G518" s="1">
        <v>160</v>
      </c>
      <c r="H518" s="1">
        <v>0.11</v>
      </c>
      <c r="I518" s="1" t="s">
        <v>18</v>
      </c>
    </row>
    <row r="519" spans="1:9" x14ac:dyDescent="0.3">
      <c r="A519" s="1" t="s">
        <v>548</v>
      </c>
      <c r="B519" s="1" t="s">
        <v>28</v>
      </c>
      <c r="C519" s="2">
        <v>43298</v>
      </c>
      <c r="D519" s="1" t="s">
        <v>32</v>
      </c>
      <c r="E519" s="1">
        <v>7</v>
      </c>
      <c r="F519" s="1">
        <v>150</v>
      </c>
      <c r="G519" s="1">
        <v>1050</v>
      </c>
      <c r="H519" s="1">
        <v>0.03</v>
      </c>
      <c r="I519" s="1" t="s">
        <v>46</v>
      </c>
    </row>
    <row r="520" spans="1:9" x14ac:dyDescent="0.3">
      <c r="A520" s="1" t="s">
        <v>549</v>
      </c>
      <c r="B520" s="1" t="s">
        <v>22</v>
      </c>
      <c r="C520" s="2">
        <v>43298</v>
      </c>
      <c r="D520" s="1" t="s">
        <v>29</v>
      </c>
      <c r="E520" s="1">
        <v>11</v>
      </c>
      <c r="F520" s="1">
        <v>16</v>
      </c>
      <c r="G520" s="1">
        <v>176</v>
      </c>
      <c r="H520" s="1">
        <v>0.12</v>
      </c>
      <c r="I520" s="1" t="s">
        <v>23</v>
      </c>
    </row>
    <row r="521" spans="1:9" x14ac:dyDescent="0.3">
      <c r="A521" s="1" t="s">
        <v>550</v>
      </c>
      <c r="B521" s="1" t="s">
        <v>9</v>
      </c>
      <c r="C521" s="2">
        <v>43298</v>
      </c>
      <c r="D521" s="1" t="s">
        <v>10</v>
      </c>
      <c r="E521" s="1">
        <v>17</v>
      </c>
      <c r="F521" s="1">
        <v>80</v>
      </c>
      <c r="G521" s="1">
        <v>1360</v>
      </c>
      <c r="H521" s="1">
        <v>7.0000000000000007E-2</v>
      </c>
      <c r="I521" s="1" t="s">
        <v>26</v>
      </c>
    </row>
    <row r="522" spans="1:9" x14ac:dyDescent="0.3">
      <c r="A522" s="1" t="s">
        <v>551</v>
      </c>
      <c r="B522" s="1" t="s">
        <v>25</v>
      </c>
      <c r="C522" s="2">
        <v>43298</v>
      </c>
      <c r="D522" s="1" t="s">
        <v>29</v>
      </c>
      <c r="E522" s="1">
        <v>5</v>
      </c>
      <c r="F522" s="1">
        <v>16</v>
      </c>
      <c r="G522" s="1">
        <v>80</v>
      </c>
      <c r="H522" s="1">
        <v>0.09</v>
      </c>
      <c r="I522" s="1" t="s">
        <v>30</v>
      </c>
    </row>
    <row r="523" spans="1:9" x14ac:dyDescent="0.3">
      <c r="A523" s="1" t="s">
        <v>552</v>
      </c>
      <c r="B523" s="1" t="s">
        <v>28</v>
      </c>
      <c r="C523" s="2">
        <v>43298</v>
      </c>
      <c r="D523" s="1" t="s">
        <v>29</v>
      </c>
      <c r="E523" s="1">
        <v>13</v>
      </c>
      <c r="F523" s="1">
        <v>16</v>
      </c>
      <c r="G523" s="1">
        <v>208</v>
      </c>
      <c r="H523" s="1">
        <v>7.0000000000000007E-2</v>
      </c>
      <c r="I523" s="1" t="s">
        <v>33</v>
      </c>
    </row>
    <row r="524" spans="1:9" x14ac:dyDescent="0.3">
      <c r="A524" s="1" t="s">
        <v>553</v>
      </c>
      <c r="B524" s="1" t="s">
        <v>28</v>
      </c>
      <c r="C524" s="2">
        <v>43298</v>
      </c>
      <c r="D524" s="1" t="s">
        <v>10</v>
      </c>
      <c r="E524" s="1">
        <v>9</v>
      </c>
      <c r="F524" s="1">
        <v>80</v>
      </c>
      <c r="G524" s="1">
        <v>720</v>
      </c>
      <c r="H524" s="1">
        <v>0.02</v>
      </c>
      <c r="I524" s="1" t="s">
        <v>35</v>
      </c>
    </row>
    <row r="525" spans="1:9" x14ac:dyDescent="0.3">
      <c r="A525" s="1" t="s">
        <v>554</v>
      </c>
      <c r="B525" s="1" t="s">
        <v>28</v>
      </c>
      <c r="C525" s="2">
        <v>43299</v>
      </c>
      <c r="D525" s="1" t="s">
        <v>10</v>
      </c>
      <c r="E525" s="1">
        <v>9</v>
      </c>
      <c r="F525" s="1">
        <v>80</v>
      </c>
      <c r="G525" s="1">
        <v>720</v>
      </c>
      <c r="H525" s="1">
        <v>0.02</v>
      </c>
      <c r="I525" s="1" t="s">
        <v>37</v>
      </c>
    </row>
    <row r="526" spans="1:9" x14ac:dyDescent="0.3">
      <c r="A526" s="1" t="s">
        <v>555</v>
      </c>
      <c r="B526" s="1" t="s">
        <v>25</v>
      </c>
      <c r="C526" s="2">
        <v>43299</v>
      </c>
      <c r="D526" s="1" t="s">
        <v>10</v>
      </c>
      <c r="E526" s="1">
        <v>22</v>
      </c>
      <c r="F526" s="1">
        <v>80</v>
      </c>
      <c r="G526" s="1">
        <v>1760</v>
      </c>
      <c r="H526" s="1">
        <v>0.03</v>
      </c>
      <c r="I526" s="1" t="s">
        <v>39</v>
      </c>
    </row>
    <row r="527" spans="1:9" x14ac:dyDescent="0.3">
      <c r="A527" s="1" t="s">
        <v>556</v>
      </c>
      <c r="B527" s="1" t="s">
        <v>9</v>
      </c>
      <c r="C527" s="2">
        <v>43299</v>
      </c>
      <c r="D527" s="1" t="s">
        <v>32</v>
      </c>
      <c r="E527" s="1">
        <v>13</v>
      </c>
      <c r="F527" s="1">
        <v>150</v>
      </c>
      <c r="G527" s="1">
        <v>1950</v>
      </c>
      <c r="H527" s="1">
        <v>0.05</v>
      </c>
      <c r="I527" s="1" t="s">
        <v>41</v>
      </c>
    </row>
    <row r="528" spans="1:9" x14ac:dyDescent="0.3">
      <c r="A528" s="1" t="s">
        <v>557</v>
      </c>
      <c r="B528" s="1" t="s">
        <v>9</v>
      </c>
      <c r="C528" s="2">
        <v>43299</v>
      </c>
      <c r="D528" s="1" t="s">
        <v>10</v>
      </c>
      <c r="E528" s="1">
        <v>14</v>
      </c>
      <c r="F528" s="1">
        <v>80</v>
      </c>
      <c r="G528" s="1">
        <v>1120</v>
      </c>
      <c r="H528" s="1">
        <v>0.08</v>
      </c>
      <c r="I528" s="1" t="s">
        <v>11</v>
      </c>
    </row>
    <row r="529" spans="1:9" x14ac:dyDescent="0.3">
      <c r="A529" s="1" t="s">
        <v>558</v>
      </c>
      <c r="B529" s="1" t="s">
        <v>9</v>
      </c>
      <c r="C529" s="2">
        <v>43299</v>
      </c>
      <c r="D529" s="1" t="s">
        <v>10</v>
      </c>
      <c r="E529" s="1">
        <v>6</v>
      </c>
      <c r="F529" s="1">
        <v>80</v>
      </c>
      <c r="G529" s="1">
        <v>480</v>
      </c>
      <c r="H529" s="1">
        <v>7.0000000000000007E-2</v>
      </c>
      <c r="I529" s="1" t="s">
        <v>15</v>
      </c>
    </row>
    <row r="530" spans="1:9" x14ac:dyDescent="0.3">
      <c r="A530" s="1" t="s">
        <v>559</v>
      </c>
      <c r="B530" s="1" t="s">
        <v>9</v>
      </c>
      <c r="C530" s="2">
        <v>43299</v>
      </c>
      <c r="D530" s="1" t="s">
        <v>10</v>
      </c>
      <c r="E530" s="1">
        <v>16</v>
      </c>
      <c r="F530" s="1">
        <v>80</v>
      </c>
      <c r="G530" s="1">
        <v>1280</v>
      </c>
      <c r="H530" s="1">
        <v>0.03</v>
      </c>
      <c r="I530" s="1" t="s">
        <v>18</v>
      </c>
    </row>
    <row r="531" spans="1:9" x14ac:dyDescent="0.3">
      <c r="A531" s="1" t="s">
        <v>560</v>
      </c>
      <c r="B531" s="1" t="s">
        <v>22</v>
      </c>
      <c r="C531" s="2">
        <v>43299</v>
      </c>
      <c r="D531" s="1" t="s">
        <v>32</v>
      </c>
      <c r="E531" s="1">
        <v>22</v>
      </c>
      <c r="F531" s="1">
        <v>150</v>
      </c>
      <c r="G531" s="1">
        <v>3300</v>
      </c>
      <c r="H531" s="1">
        <v>0.09</v>
      </c>
      <c r="I531" s="1" t="s">
        <v>46</v>
      </c>
    </row>
    <row r="532" spans="1:9" x14ac:dyDescent="0.3">
      <c r="A532" s="1" t="s">
        <v>561</v>
      </c>
      <c r="B532" s="1" t="s">
        <v>25</v>
      </c>
      <c r="C532" s="2">
        <v>43299</v>
      </c>
      <c r="D532" s="1" t="s">
        <v>32</v>
      </c>
      <c r="E532" s="1">
        <v>4</v>
      </c>
      <c r="F532" s="1">
        <v>150</v>
      </c>
      <c r="G532" s="1">
        <v>600</v>
      </c>
      <c r="H532" s="1">
        <v>0.12</v>
      </c>
      <c r="I532" s="1" t="s">
        <v>23</v>
      </c>
    </row>
    <row r="533" spans="1:9" x14ac:dyDescent="0.3">
      <c r="A533" s="1" t="s">
        <v>562</v>
      </c>
      <c r="B533" s="1" t="s">
        <v>28</v>
      </c>
      <c r="C533" s="2">
        <v>43299</v>
      </c>
      <c r="D533" s="1" t="s">
        <v>17</v>
      </c>
      <c r="E533" s="1">
        <v>7</v>
      </c>
      <c r="F533" s="1">
        <v>230</v>
      </c>
      <c r="G533" s="1">
        <v>1610</v>
      </c>
      <c r="H533" s="1">
        <v>0.05</v>
      </c>
      <c r="I533" s="1" t="s">
        <v>26</v>
      </c>
    </row>
    <row r="534" spans="1:9" x14ac:dyDescent="0.3">
      <c r="A534" s="1" t="s">
        <v>563</v>
      </c>
      <c r="B534" s="1" t="s">
        <v>25</v>
      </c>
      <c r="C534" s="2">
        <v>43299</v>
      </c>
      <c r="D534" s="1" t="s">
        <v>32</v>
      </c>
      <c r="E534" s="1">
        <v>20</v>
      </c>
      <c r="F534" s="1">
        <v>150</v>
      </c>
      <c r="G534" s="1">
        <v>3000</v>
      </c>
      <c r="H534" s="1">
        <v>0.1</v>
      </c>
      <c r="I534" s="1" t="s">
        <v>30</v>
      </c>
    </row>
    <row r="535" spans="1:9" x14ac:dyDescent="0.3">
      <c r="A535" s="1" t="s">
        <v>564</v>
      </c>
      <c r="B535" s="1" t="s">
        <v>25</v>
      </c>
      <c r="C535" s="2">
        <v>43299</v>
      </c>
      <c r="D535" s="1" t="s">
        <v>17</v>
      </c>
      <c r="E535" s="1">
        <v>8</v>
      </c>
      <c r="F535" s="1">
        <v>230</v>
      </c>
      <c r="G535" s="1">
        <v>1840</v>
      </c>
      <c r="H535" s="1">
        <v>0.05</v>
      </c>
      <c r="I535" s="1" t="s">
        <v>33</v>
      </c>
    </row>
    <row r="536" spans="1:9" x14ac:dyDescent="0.3">
      <c r="A536" s="1" t="s">
        <v>565</v>
      </c>
      <c r="B536" s="1" t="s">
        <v>25</v>
      </c>
      <c r="C536" s="2">
        <v>43300</v>
      </c>
      <c r="D536" s="1" t="s">
        <v>14</v>
      </c>
      <c r="E536" s="1">
        <v>9</v>
      </c>
      <c r="F536" s="1">
        <v>40</v>
      </c>
      <c r="G536" s="1">
        <v>360</v>
      </c>
      <c r="H536" s="1">
        <v>0.06</v>
      </c>
      <c r="I536" s="1" t="s">
        <v>35</v>
      </c>
    </row>
    <row r="537" spans="1:9" x14ac:dyDescent="0.3">
      <c r="A537" s="1" t="s">
        <v>566</v>
      </c>
      <c r="B537" s="1" t="s">
        <v>25</v>
      </c>
      <c r="C537" s="2">
        <v>43300</v>
      </c>
      <c r="D537" s="1" t="s">
        <v>17</v>
      </c>
      <c r="E537" s="1">
        <v>19</v>
      </c>
      <c r="F537" s="1">
        <v>230</v>
      </c>
      <c r="G537" s="1">
        <v>4370</v>
      </c>
      <c r="H537" s="1">
        <v>0.06</v>
      </c>
      <c r="I537" s="1" t="s">
        <v>37</v>
      </c>
    </row>
    <row r="538" spans="1:9" x14ac:dyDescent="0.3">
      <c r="A538" s="1" t="s">
        <v>567</v>
      </c>
      <c r="B538" s="1" t="s">
        <v>25</v>
      </c>
      <c r="C538" s="2">
        <v>43300</v>
      </c>
      <c r="D538" s="1" t="s">
        <v>14</v>
      </c>
      <c r="E538" s="1">
        <v>22</v>
      </c>
      <c r="F538" s="1">
        <v>40</v>
      </c>
      <c r="G538" s="1">
        <v>880</v>
      </c>
      <c r="H538" s="1">
        <v>0.01</v>
      </c>
      <c r="I538" s="1" t="s">
        <v>39</v>
      </c>
    </row>
    <row r="539" spans="1:9" x14ac:dyDescent="0.3">
      <c r="A539" s="1" t="s">
        <v>568</v>
      </c>
      <c r="B539" s="1" t="s">
        <v>9</v>
      </c>
      <c r="C539" s="2">
        <v>43300</v>
      </c>
      <c r="D539" s="1" t="s">
        <v>14</v>
      </c>
      <c r="E539" s="1">
        <v>22</v>
      </c>
      <c r="F539" s="1">
        <v>40</v>
      </c>
      <c r="G539" s="1">
        <v>880</v>
      </c>
      <c r="H539" s="1">
        <v>0.02</v>
      </c>
      <c r="I539" s="1" t="s">
        <v>41</v>
      </c>
    </row>
    <row r="540" spans="1:9" x14ac:dyDescent="0.3">
      <c r="A540" s="1" t="s">
        <v>569</v>
      </c>
      <c r="B540" s="1" t="s">
        <v>28</v>
      </c>
      <c r="C540" s="2">
        <v>43300</v>
      </c>
      <c r="D540" s="1" t="s">
        <v>10</v>
      </c>
      <c r="E540" s="1">
        <v>10</v>
      </c>
      <c r="F540" s="1">
        <v>80</v>
      </c>
      <c r="G540" s="1">
        <v>800</v>
      </c>
      <c r="H540" s="1">
        <v>0.06</v>
      </c>
      <c r="I540" s="1" t="s">
        <v>11</v>
      </c>
    </row>
    <row r="541" spans="1:9" x14ac:dyDescent="0.3">
      <c r="A541" s="1" t="s">
        <v>570</v>
      </c>
      <c r="B541" s="1" t="s">
        <v>25</v>
      </c>
      <c r="C541" s="2">
        <v>43300</v>
      </c>
      <c r="D541" s="1" t="s">
        <v>14</v>
      </c>
      <c r="E541" s="1">
        <v>7</v>
      </c>
      <c r="F541" s="1">
        <v>40</v>
      </c>
      <c r="G541" s="1">
        <v>280</v>
      </c>
      <c r="H541" s="1">
        <v>0.11</v>
      </c>
      <c r="I541" s="1" t="s">
        <v>15</v>
      </c>
    </row>
    <row r="542" spans="1:9" x14ac:dyDescent="0.3">
      <c r="A542" s="1" t="s">
        <v>571</v>
      </c>
      <c r="B542" s="1" t="s">
        <v>9</v>
      </c>
      <c r="C542" s="2">
        <v>43300</v>
      </c>
      <c r="D542" s="1" t="s">
        <v>17</v>
      </c>
      <c r="E542" s="1">
        <v>7</v>
      </c>
      <c r="F542" s="1">
        <v>230</v>
      </c>
      <c r="G542" s="1">
        <v>1610</v>
      </c>
      <c r="H542" s="1">
        <v>0.08</v>
      </c>
      <c r="I542" s="1" t="s">
        <v>18</v>
      </c>
    </row>
    <row r="543" spans="1:9" x14ac:dyDescent="0.3">
      <c r="A543" s="1" t="s">
        <v>572</v>
      </c>
      <c r="B543" s="1" t="s">
        <v>9</v>
      </c>
      <c r="C543" s="2">
        <v>43300</v>
      </c>
      <c r="D543" s="1" t="s">
        <v>29</v>
      </c>
      <c r="E543" s="1">
        <v>18</v>
      </c>
      <c r="F543" s="1">
        <v>16</v>
      </c>
      <c r="G543" s="1">
        <v>288</v>
      </c>
      <c r="H543" s="1">
        <v>0.11</v>
      </c>
      <c r="I543" s="1" t="s">
        <v>46</v>
      </c>
    </row>
    <row r="544" spans="1:9" x14ac:dyDescent="0.3">
      <c r="A544" s="1" t="s">
        <v>573</v>
      </c>
      <c r="B544" s="1" t="s">
        <v>22</v>
      </c>
      <c r="C544" s="2">
        <v>43300</v>
      </c>
      <c r="D544" s="1" t="s">
        <v>17</v>
      </c>
      <c r="E544" s="1">
        <v>14</v>
      </c>
      <c r="F544" s="1">
        <v>230</v>
      </c>
      <c r="G544" s="1">
        <v>3220</v>
      </c>
      <c r="H544" s="1">
        <v>0.12</v>
      </c>
      <c r="I544" s="1" t="s">
        <v>23</v>
      </c>
    </row>
    <row r="545" spans="1:9" x14ac:dyDescent="0.3">
      <c r="A545" s="1" t="s">
        <v>574</v>
      </c>
      <c r="B545" s="1" t="s">
        <v>13</v>
      </c>
      <c r="C545" s="2">
        <v>43300</v>
      </c>
      <c r="D545" s="1" t="s">
        <v>14</v>
      </c>
      <c r="E545" s="1">
        <v>21</v>
      </c>
      <c r="F545" s="1">
        <v>40</v>
      </c>
      <c r="G545" s="1">
        <v>840</v>
      </c>
      <c r="H545" s="1">
        <v>0.03</v>
      </c>
      <c r="I545" s="1" t="s">
        <v>26</v>
      </c>
    </row>
    <row r="546" spans="1:9" x14ac:dyDescent="0.3">
      <c r="A546" s="1" t="s">
        <v>575</v>
      </c>
      <c r="B546" s="1" t="s">
        <v>9</v>
      </c>
      <c r="C546" s="2">
        <v>43300</v>
      </c>
      <c r="D546" s="1" t="s">
        <v>32</v>
      </c>
      <c r="E546" s="1">
        <v>3</v>
      </c>
      <c r="F546" s="1">
        <v>150</v>
      </c>
      <c r="G546" s="1">
        <v>450</v>
      </c>
      <c r="H546" s="1">
        <v>0.03</v>
      </c>
      <c r="I546" s="1" t="s">
        <v>30</v>
      </c>
    </row>
    <row r="547" spans="1:9" x14ac:dyDescent="0.3">
      <c r="A547" s="1" t="s">
        <v>576</v>
      </c>
      <c r="B547" s="1" t="s">
        <v>9</v>
      </c>
      <c r="C547" s="2">
        <v>43300</v>
      </c>
      <c r="D547" s="1" t="s">
        <v>10</v>
      </c>
      <c r="E547" s="1">
        <v>12</v>
      </c>
      <c r="F547" s="1">
        <v>80</v>
      </c>
      <c r="G547" s="1">
        <v>960</v>
      </c>
      <c r="H547" s="1">
        <v>0.04</v>
      </c>
      <c r="I547" s="1" t="s">
        <v>33</v>
      </c>
    </row>
    <row r="548" spans="1:9" x14ac:dyDescent="0.3">
      <c r="A548" s="1" t="s">
        <v>577</v>
      </c>
      <c r="B548" s="1" t="s">
        <v>25</v>
      </c>
      <c r="C548" s="2">
        <v>43301</v>
      </c>
      <c r="D548" s="1" t="s">
        <v>32</v>
      </c>
      <c r="E548" s="1">
        <v>6</v>
      </c>
      <c r="F548" s="1">
        <v>150</v>
      </c>
      <c r="G548" s="1">
        <v>900</v>
      </c>
      <c r="H548" s="1">
        <v>0.03</v>
      </c>
      <c r="I548" s="1" t="s">
        <v>35</v>
      </c>
    </row>
    <row r="549" spans="1:9" x14ac:dyDescent="0.3">
      <c r="A549" s="1" t="s">
        <v>578</v>
      </c>
      <c r="B549" s="1" t="s">
        <v>22</v>
      </c>
      <c r="C549" s="2">
        <v>43301</v>
      </c>
      <c r="D549" s="1" t="s">
        <v>14</v>
      </c>
      <c r="E549" s="1">
        <v>20</v>
      </c>
      <c r="F549" s="1">
        <v>40</v>
      </c>
      <c r="G549" s="1">
        <v>800</v>
      </c>
      <c r="H549" s="1">
        <v>0.01</v>
      </c>
      <c r="I549" s="1" t="s">
        <v>37</v>
      </c>
    </row>
    <row r="550" spans="1:9" x14ac:dyDescent="0.3">
      <c r="A550" s="1" t="s">
        <v>579</v>
      </c>
      <c r="B550" s="1" t="s">
        <v>9</v>
      </c>
      <c r="C550" s="2">
        <v>43301</v>
      </c>
      <c r="D550" s="1" t="s">
        <v>17</v>
      </c>
      <c r="E550" s="1">
        <v>3</v>
      </c>
      <c r="F550" s="1">
        <v>230</v>
      </c>
      <c r="G550" s="1">
        <v>690</v>
      </c>
      <c r="H550" s="1">
        <v>0.06</v>
      </c>
      <c r="I550" s="1" t="s">
        <v>30</v>
      </c>
    </row>
    <row r="551" spans="1:9" x14ac:dyDescent="0.3">
      <c r="A551" s="1" t="s">
        <v>580</v>
      </c>
      <c r="B551" s="1" t="s">
        <v>25</v>
      </c>
      <c r="C551" s="2">
        <v>43301</v>
      </c>
      <c r="D551" s="1" t="s">
        <v>17</v>
      </c>
      <c r="E551" s="1">
        <v>3</v>
      </c>
      <c r="F551" s="1">
        <v>230</v>
      </c>
      <c r="G551" s="1">
        <v>690</v>
      </c>
      <c r="H551" s="1">
        <v>0.01</v>
      </c>
      <c r="I551" s="1" t="s">
        <v>33</v>
      </c>
    </row>
    <row r="552" spans="1:9" x14ac:dyDescent="0.3">
      <c r="A552" s="1" t="s">
        <v>581</v>
      </c>
      <c r="B552" s="1" t="s">
        <v>9</v>
      </c>
      <c r="C552" s="2">
        <v>43301</v>
      </c>
      <c r="D552" s="1" t="s">
        <v>14</v>
      </c>
      <c r="E552" s="1">
        <v>20</v>
      </c>
      <c r="F552" s="1">
        <v>40</v>
      </c>
      <c r="G552" s="1">
        <v>800</v>
      </c>
      <c r="H552" s="1">
        <v>0.04</v>
      </c>
      <c r="I552" s="1" t="s">
        <v>35</v>
      </c>
    </row>
    <row r="553" spans="1:9" x14ac:dyDescent="0.3">
      <c r="A553" s="1" t="s">
        <v>582</v>
      </c>
      <c r="B553" s="1" t="s">
        <v>22</v>
      </c>
      <c r="C553" s="2">
        <v>43301</v>
      </c>
      <c r="D553" s="1" t="s">
        <v>10</v>
      </c>
      <c r="E553" s="1">
        <v>16</v>
      </c>
      <c r="F553" s="1">
        <v>80</v>
      </c>
      <c r="G553" s="1">
        <v>1280</v>
      </c>
      <c r="H553" s="1">
        <v>0.02</v>
      </c>
      <c r="I553" s="1" t="s">
        <v>37</v>
      </c>
    </row>
    <row r="554" spans="1:9" x14ac:dyDescent="0.3">
      <c r="A554" s="1" t="s">
        <v>583</v>
      </c>
      <c r="B554" s="1" t="s">
        <v>9</v>
      </c>
      <c r="C554" s="2">
        <v>43301</v>
      </c>
      <c r="D554" s="1" t="s">
        <v>32</v>
      </c>
      <c r="E554" s="1">
        <v>8</v>
      </c>
      <c r="F554" s="1">
        <v>150</v>
      </c>
      <c r="G554" s="1">
        <v>1200</v>
      </c>
      <c r="H554" s="1">
        <v>0.09</v>
      </c>
      <c r="I554" s="1" t="s">
        <v>30</v>
      </c>
    </row>
    <row r="555" spans="1:9" x14ac:dyDescent="0.3">
      <c r="A555" s="1" t="s">
        <v>584</v>
      </c>
      <c r="B555" s="1" t="s">
        <v>13</v>
      </c>
      <c r="C555" s="2">
        <v>43302</v>
      </c>
      <c r="D555" s="1" t="s">
        <v>17</v>
      </c>
      <c r="E555" s="1">
        <v>7</v>
      </c>
      <c r="F555" s="1">
        <v>230</v>
      </c>
      <c r="G555" s="1">
        <v>1610</v>
      </c>
      <c r="H555" s="1">
        <v>0.01</v>
      </c>
      <c r="I555" s="1" t="s">
        <v>33</v>
      </c>
    </row>
    <row r="556" spans="1:9" x14ac:dyDescent="0.3">
      <c r="A556" s="1" t="s">
        <v>585</v>
      </c>
      <c r="B556" s="1" t="s">
        <v>13</v>
      </c>
      <c r="C556" s="2">
        <v>43302</v>
      </c>
      <c r="D556" s="1" t="s">
        <v>32</v>
      </c>
      <c r="E556" s="1">
        <v>23</v>
      </c>
      <c r="F556" s="1">
        <v>150</v>
      </c>
      <c r="G556" s="1">
        <v>3450</v>
      </c>
      <c r="H556" s="1">
        <v>0.11</v>
      </c>
      <c r="I556" s="1" t="s">
        <v>35</v>
      </c>
    </row>
    <row r="557" spans="1:9" x14ac:dyDescent="0.3">
      <c r="A557" s="1" t="s">
        <v>586</v>
      </c>
      <c r="B557" s="1" t="s">
        <v>28</v>
      </c>
      <c r="C557" s="2">
        <v>43302</v>
      </c>
      <c r="D557" s="1" t="s">
        <v>14</v>
      </c>
      <c r="E557" s="1">
        <v>16</v>
      </c>
      <c r="F557" s="1">
        <v>40</v>
      </c>
      <c r="G557" s="1">
        <v>640</v>
      </c>
      <c r="H557" s="1">
        <v>0.09</v>
      </c>
      <c r="I557" s="1" t="s">
        <v>37</v>
      </c>
    </row>
    <row r="558" spans="1:9" x14ac:dyDescent="0.3">
      <c r="A558" s="1" t="s">
        <v>587</v>
      </c>
      <c r="B558" s="1" t="s">
        <v>28</v>
      </c>
      <c r="C558" s="2">
        <v>43302</v>
      </c>
      <c r="D558" s="1" t="s">
        <v>14</v>
      </c>
      <c r="E558" s="1">
        <v>20</v>
      </c>
      <c r="F558" s="1">
        <v>40</v>
      </c>
      <c r="G558" s="1">
        <v>800</v>
      </c>
      <c r="H558" s="1">
        <v>0.1</v>
      </c>
      <c r="I558" s="1" t="s">
        <v>30</v>
      </c>
    </row>
    <row r="559" spans="1:9" x14ac:dyDescent="0.3">
      <c r="A559" s="1" t="s">
        <v>588</v>
      </c>
      <c r="B559" s="1" t="s">
        <v>13</v>
      </c>
      <c r="C559" s="2">
        <v>43302</v>
      </c>
      <c r="D559" s="1" t="s">
        <v>14</v>
      </c>
      <c r="E559" s="1">
        <v>18</v>
      </c>
      <c r="F559" s="1">
        <v>40</v>
      </c>
      <c r="G559" s="1">
        <v>720</v>
      </c>
      <c r="H559" s="1">
        <v>0.08</v>
      </c>
      <c r="I559" s="1" t="s">
        <v>33</v>
      </c>
    </row>
    <row r="560" spans="1:9" x14ac:dyDescent="0.3">
      <c r="A560" s="1" t="s">
        <v>589</v>
      </c>
      <c r="B560" s="1" t="s">
        <v>28</v>
      </c>
      <c r="C560" s="2">
        <v>43302</v>
      </c>
      <c r="D560" s="1" t="s">
        <v>10</v>
      </c>
      <c r="E560" s="1">
        <v>22</v>
      </c>
      <c r="F560" s="1">
        <v>80</v>
      </c>
      <c r="G560" s="1">
        <v>1760</v>
      </c>
      <c r="H560" s="1">
        <v>0.09</v>
      </c>
      <c r="I560" s="1" t="s">
        <v>35</v>
      </c>
    </row>
    <row r="561" spans="1:9" x14ac:dyDescent="0.3">
      <c r="A561" s="1" t="s">
        <v>590</v>
      </c>
      <c r="B561" s="1" t="s">
        <v>13</v>
      </c>
      <c r="C561" s="2">
        <v>43302</v>
      </c>
      <c r="D561" s="1" t="s">
        <v>32</v>
      </c>
      <c r="E561" s="1">
        <v>22</v>
      </c>
      <c r="F561" s="1">
        <v>150</v>
      </c>
      <c r="G561" s="1">
        <v>3300</v>
      </c>
      <c r="H561" s="1">
        <v>0.02</v>
      </c>
      <c r="I561" s="1" t="s">
        <v>37</v>
      </c>
    </row>
    <row r="562" spans="1:9" x14ac:dyDescent="0.3">
      <c r="A562" s="1" t="s">
        <v>591</v>
      </c>
      <c r="B562" s="1" t="s">
        <v>13</v>
      </c>
      <c r="C562" s="2">
        <v>43302</v>
      </c>
      <c r="D562" s="1" t="s">
        <v>32</v>
      </c>
      <c r="E562" s="1">
        <v>20</v>
      </c>
      <c r="F562" s="1">
        <v>150</v>
      </c>
      <c r="G562" s="1">
        <v>3000</v>
      </c>
      <c r="H562" s="1">
        <v>0.09</v>
      </c>
      <c r="I562" s="1" t="s">
        <v>30</v>
      </c>
    </row>
    <row r="563" spans="1:9" x14ac:dyDescent="0.3">
      <c r="A563" s="1" t="s">
        <v>592</v>
      </c>
      <c r="B563" s="1" t="s">
        <v>9</v>
      </c>
      <c r="C563" s="2">
        <v>43302</v>
      </c>
      <c r="D563" s="1" t="s">
        <v>29</v>
      </c>
      <c r="E563" s="1">
        <v>10</v>
      </c>
      <c r="F563" s="1">
        <v>16</v>
      </c>
      <c r="G563" s="1">
        <v>160</v>
      </c>
      <c r="H563" s="1">
        <v>0.08</v>
      </c>
      <c r="I563" s="1" t="s">
        <v>33</v>
      </c>
    </row>
    <row r="564" spans="1:9" x14ac:dyDescent="0.3">
      <c r="A564" s="1" t="s">
        <v>593</v>
      </c>
      <c r="B564" s="1" t="s">
        <v>22</v>
      </c>
      <c r="C564" s="2">
        <v>43302</v>
      </c>
      <c r="D564" s="1" t="s">
        <v>14</v>
      </c>
      <c r="E564" s="1">
        <v>12</v>
      </c>
      <c r="F564" s="1">
        <v>40</v>
      </c>
      <c r="G564" s="1">
        <v>480</v>
      </c>
      <c r="H564" s="1">
        <v>0.02</v>
      </c>
      <c r="I564" s="1" t="s">
        <v>35</v>
      </c>
    </row>
    <row r="565" spans="1:9" x14ac:dyDescent="0.3">
      <c r="A565" s="1" t="s">
        <v>594</v>
      </c>
      <c r="B565" s="1" t="s">
        <v>9</v>
      </c>
      <c r="C565" s="2">
        <v>43302</v>
      </c>
      <c r="D565" s="1" t="s">
        <v>32</v>
      </c>
      <c r="E565" s="1">
        <v>4</v>
      </c>
      <c r="F565" s="1">
        <v>150</v>
      </c>
      <c r="G565" s="1">
        <v>600</v>
      </c>
      <c r="H565" s="1">
        <v>0.1</v>
      </c>
      <c r="I565" s="1" t="s">
        <v>37</v>
      </c>
    </row>
    <row r="566" spans="1:9" x14ac:dyDescent="0.3">
      <c r="A566" s="1" t="s">
        <v>595</v>
      </c>
      <c r="B566" s="1" t="s">
        <v>22</v>
      </c>
      <c r="C566" s="2">
        <v>43302</v>
      </c>
      <c r="D566" s="1" t="s">
        <v>10</v>
      </c>
      <c r="E566" s="1">
        <v>5</v>
      </c>
      <c r="F566" s="1">
        <v>80</v>
      </c>
      <c r="G566" s="1">
        <v>400</v>
      </c>
      <c r="H566" s="1">
        <v>0.09</v>
      </c>
      <c r="I566" s="1" t="s">
        <v>30</v>
      </c>
    </row>
    <row r="567" spans="1:9" x14ac:dyDescent="0.3">
      <c r="A567" s="1" t="s">
        <v>596</v>
      </c>
      <c r="B567" s="1" t="s">
        <v>9</v>
      </c>
      <c r="C567" s="2">
        <v>43302</v>
      </c>
      <c r="D567" s="1" t="s">
        <v>14</v>
      </c>
      <c r="E567" s="1">
        <v>11</v>
      </c>
      <c r="F567" s="1">
        <v>40</v>
      </c>
      <c r="G567" s="1">
        <v>440</v>
      </c>
      <c r="H567" s="1">
        <v>0.04</v>
      </c>
      <c r="I567" s="1" t="s">
        <v>33</v>
      </c>
    </row>
    <row r="568" spans="1:9" x14ac:dyDescent="0.3">
      <c r="A568" s="1" t="s">
        <v>597</v>
      </c>
      <c r="B568" s="1" t="s">
        <v>13</v>
      </c>
      <c r="C568" s="2">
        <v>43302</v>
      </c>
      <c r="D568" s="1" t="s">
        <v>32</v>
      </c>
      <c r="E568" s="1">
        <v>13</v>
      </c>
      <c r="F568" s="1">
        <v>150</v>
      </c>
      <c r="G568" s="1">
        <v>1950</v>
      </c>
      <c r="H568" s="1">
        <v>0.08</v>
      </c>
      <c r="I568" s="1" t="s">
        <v>35</v>
      </c>
    </row>
    <row r="569" spans="1:9" x14ac:dyDescent="0.3">
      <c r="A569" s="1" t="s">
        <v>598</v>
      </c>
      <c r="B569" s="1" t="s">
        <v>25</v>
      </c>
      <c r="C569" s="2">
        <v>43302</v>
      </c>
      <c r="D569" s="1" t="s">
        <v>10</v>
      </c>
      <c r="E569" s="1">
        <v>19</v>
      </c>
      <c r="F569" s="1">
        <v>80</v>
      </c>
      <c r="G569" s="1">
        <v>1520</v>
      </c>
      <c r="H569" s="1">
        <v>0.02</v>
      </c>
      <c r="I569" s="1" t="s">
        <v>37</v>
      </c>
    </row>
    <row r="570" spans="1:9" x14ac:dyDescent="0.3">
      <c r="A570" s="1" t="s">
        <v>599</v>
      </c>
      <c r="B570" s="1" t="s">
        <v>13</v>
      </c>
      <c r="C570" s="2">
        <v>43302</v>
      </c>
      <c r="D570" s="1" t="s">
        <v>17</v>
      </c>
      <c r="E570" s="1">
        <v>7</v>
      </c>
      <c r="F570" s="1">
        <v>230</v>
      </c>
      <c r="G570" s="1">
        <v>1610</v>
      </c>
      <c r="H570" s="1">
        <v>0.01</v>
      </c>
      <c r="I570" s="1" t="s">
        <v>30</v>
      </c>
    </row>
    <row r="571" spans="1:9" x14ac:dyDescent="0.3">
      <c r="A571" s="1" t="s">
        <v>600</v>
      </c>
      <c r="B571" s="1" t="s">
        <v>28</v>
      </c>
      <c r="C571" s="2">
        <v>43303</v>
      </c>
      <c r="D571" s="1" t="s">
        <v>10</v>
      </c>
      <c r="E571" s="1">
        <v>16</v>
      </c>
      <c r="F571" s="1">
        <v>80</v>
      </c>
      <c r="G571" s="1">
        <v>1280</v>
      </c>
      <c r="H571" s="1">
        <v>0.09</v>
      </c>
      <c r="I571" s="1" t="s">
        <v>33</v>
      </c>
    </row>
    <row r="572" spans="1:9" x14ac:dyDescent="0.3">
      <c r="A572" s="1" t="s">
        <v>601</v>
      </c>
      <c r="B572" s="1" t="s">
        <v>9</v>
      </c>
      <c r="C572" s="2">
        <v>43303</v>
      </c>
      <c r="D572" s="1" t="s">
        <v>17</v>
      </c>
      <c r="E572" s="1">
        <v>7</v>
      </c>
      <c r="F572" s="1">
        <v>230</v>
      </c>
      <c r="G572" s="1">
        <v>1610</v>
      </c>
      <c r="H572" s="1">
        <v>0.02</v>
      </c>
      <c r="I572" s="1" t="s">
        <v>35</v>
      </c>
    </row>
    <row r="573" spans="1:9" x14ac:dyDescent="0.3">
      <c r="A573" s="1" t="s">
        <v>602</v>
      </c>
      <c r="B573" s="1" t="s">
        <v>9</v>
      </c>
      <c r="C573" s="2">
        <v>43303</v>
      </c>
      <c r="D573" s="1" t="s">
        <v>14</v>
      </c>
      <c r="E573" s="1">
        <v>5</v>
      </c>
      <c r="F573" s="1">
        <v>40</v>
      </c>
      <c r="G573" s="1">
        <v>200</v>
      </c>
      <c r="H573" s="1">
        <v>0.06</v>
      </c>
      <c r="I573" s="1" t="s">
        <v>37</v>
      </c>
    </row>
    <row r="574" spans="1:9" x14ac:dyDescent="0.3">
      <c r="A574" s="1" t="s">
        <v>603</v>
      </c>
      <c r="B574" s="1" t="s">
        <v>22</v>
      </c>
      <c r="C574" s="2">
        <v>43303</v>
      </c>
      <c r="D574" s="1" t="s">
        <v>32</v>
      </c>
      <c r="E574" s="1">
        <v>9</v>
      </c>
      <c r="F574" s="1">
        <v>150</v>
      </c>
      <c r="G574" s="1">
        <v>1350</v>
      </c>
      <c r="H574" s="1">
        <v>0.06</v>
      </c>
      <c r="I574" s="1" t="s">
        <v>30</v>
      </c>
    </row>
    <row r="575" spans="1:9" x14ac:dyDescent="0.3">
      <c r="A575" s="1" t="s">
        <v>604</v>
      </c>
      <c r="B575" s="1" t="s">
        <v>28</v>
      </c>
      <c r="C575" s="2">
        <v>43303</v>
      </c>
      <c r="D575" s="1" t="s">
        <v>14</v>
      </c>
      <c r="E575" s="1">
        <v>20</v>
      </c>
      <c r="F575" s="1">
        <v>40</v>
      </c>
      <c r="G575" s="1">
        <v>800</v>
      </c>
      <c r="H575" s="1">
        <v>7.0000000000000007E-2</v>
      </c>
      <c r="I575" s="1" t="s">
        <v>33</v>
      </c>
    </row>
    <row r="576" spans="1:9" x14ac:dyDescent="0.3">
      <c r="A576" s="1" t="s">
        <v>605</v>
      </c>
      <c r="B576" s="1" t="s">
        <v>13</v>
      </c>
      <c r="C576" s="2">
        <v>43303</v>
      </c>
      <c r="D576" s="1" t="s">
        <v>29</v>
      </c>
      <c r="E576" s="1">
        <v>20</v>
      </c>
      <c r="F576" s="1">
        <v>16</v>
      </c>
      <c r="G576" s="1">
        <v>320</v>
      </c>
      <c r="H576" s="1">
        <v>0.06</v>
      </c>
      <c r="I576" s="1" t="s">
        <v>35</v>
      </c>
    </row>
    <row r="577" spans="1:9" x14ac:dyDescent="0.3">
      <c r="A577" s="1" t="s">
        <v>606</v>
      </c>
      <c r="B577" s="1" t="s">
        <v>28</v>
      </c>
      <c r="C577" s="2">
        <v>43303</v>
      </c>
      <c r="D577" s="1" t="s">
        <v>14</v>
      </c>
      <c r="E577" s="1">
        <v>5</v>
      </c>
      <c r="F577" s="1">
        <v>40</v>
      </c>
      <c r="G577" s="1">
        <v>200</v>
      </c>
      <c r="H577" s="1">
        <v>0.03</v>
      </c>
      <c r="I577" s="1" t="s">
        <v>37</v>
      </c>
    </row>
    <row r="578" spans="1:9" x14ac:dyDescent="0.3">
      <c r="A578" s="1" t="s">
        <v>607</v>
      </c>
      <c r="B578" s="1" t="s">
        <v>25</v>
      </c>
      <c r="C578" s="2">
        <v>43304</v>
      </c>
      <c r="D578" s="1" t="s">
        <v>10</v>
      </c>
      <c r="E578" s="1">
        <v>7</v>
      </c>
      <c r="F578" s="1">
        <v>80</v>
      </c>
      <c r="G578" s="1">
        <v>560</v>
      </c>
      <c r="H578" s="1">
        <v>7.0000000000000007E-2</v>
      </c>
      <c r="I578" s="1" t="s">
        <v>30</v>
      </c>
    </row>
    <row r="579" spans="1:9" x14ac:dyDescent="0.3">
      <c r="A579" s="1" t="s">
        <v>608</v>
      </c>
      <c r="B579" s="1" t="s">
        <v>28</v>
      </c>
      <c r="C579" s="2">
        <v>43304</v>
      </c>
      <c r="D579" s="1" t="s">
        <v>29</v>
      </c>
      <c r="E579" s="1">
        <v>22</v>
      </c>
      <c r="F579" s="1">
        <v>16</v>
      </c>
      <c r="G579" s="1">
        <v>352</v>
      </c>
      <c r="H579" s="1">
        <v>0.12</v>
      </c>
      <c r="I579" s="1" t="s">
        <v>33</v>
      </c>
    </row>
    <row r="580" spans="1:9" x14ac:dyDescent="0.3">
      <c r="A580" s="1" t="s">
        <v>609</v>
      </c>
      <c r="B580" s="1" t="s">
        <v>28</v>
      </c>
      <c r="C580" s="2">
        <v>43304</v>
      </c>
      <c r="D580" s="1" t="s">
        <v>29</v>
      </c>
      <c r="E580" s="1">
        <v>11</v>
      </c>
      <c r="F580" s="1">
        <v>16</v>
      </c>
      <c r="G580" s="1">
        <v>176</v>
      </c>
      <c r="H580" s="1">
        <v>0.12</v>
      </c>
      <c r="I580" s="1" t="s">
        <v>35</v>
      </c>
    </row>
    <row r="581" spans="1:9" x14ac:dyDescent="0.3">
      <c r="A581" s="1" t="s">
        <v>610</v>
      </c>
      <c r="B581" s="1" t="s">
        <v>25</v>
      </c>
      <c r="C581" s="2">
        <v>43304</v>
      </c>
      <c r="D581" s="1" t="s">
        <v>17</v>
      </c>
      <c r="E581" s="1">
        <v>17</v>
      </c>
      <c r="F581" s="1">
        <v>230</v>
      </c>
      <c r="G581" s="1">
        <v>3910</v>
      </c>
      <c r="H581" s="1">
        <v>0.12</v>
      </c>
      <c r="I581" s="1" t="s">
        <v>37</v>
      </c>
    </row>
    <row r="582" spans="1:9" x14ac:dyDescent="0.3">
      <c r="A582" s="1" t="s">
        <v>611</v>
      </c>
      <c r="B582" s="1" t="s">
        <v>9</v>
      </c>
      <c r="C582" s="2">
        <v>43304</v>
      </c>
      <c r="D582" s="1" t="s">
        <v>10</v>
      </c>
      <c r="E582" s="1">
        <v>7</v>
      </c>
      <c r="F582" s="1">
        <v>80</v>
      </c>
      <c r="G582" s="1">
        <v>560</v>
      </c>
      <c r="H582" s="1">
        <v>0.02</v>
      </c>
      <c r="I582" s="1" t="s">
        <v>30</v>
      </c>
    </row>
    <row r="583" spans="1:9" x14ac:dyDescent="0.3">
      <c r="A583" s="1" t="s">
        <v>612</v>
      </c>
      <c r="B583" s="1" t="s">
        <v>13</v>
      </c>
      <c r="C583" s="2">
        <v>43304</v>
      </c>
      <c r="D583" s="1" t="s">
        <v>29</v>
      </c>
      <c r="E583" s="1">
        <v>5</v>
      </c>
      <c r="F583" s="1">
        <v>16</v>
      </c>
      <c r="G583" s="1">
        <v>80</v>
      </c>
      <c r="H583" s="1">
        <v>0.11</v>
      </c>
      <c r="I583" s="1" t="s">
        <v>33</v>
      </c>
    </row>
    <row r="584" spans="1:9" x14ac:dyDescent="0.3">
      <c r="A584" s="1" t="s">
        <v>613</v>
      </c>
      <c r="B584" s="1" t="s">
        <v>28</v>
      </c>
      <c r="C584" s="2">
        <v>43304</v>
      </c>
      <c r="D584" s="1" t="s">
        <v>32</v>
      </c>
      <c r="E584" s="1">
        <v>18</v>
      </c>
      <c r="F584" s="1">
        <v>150</v>
      </c>
      <c r="G584" s="1">
        <v>2700</v>
      </c>
      <c r="H584" s="1">
        <v>0.12</v>
      </c>
      <c r="I584" s="1" t="s">
        <v>35</v>
      </c>
    </row>
    <row r="585" spans="1:9" x14ac:dyDescent="0.3">
      <c r="A585" s="1" t="s">
        <v>614</v>
      </c>
      <c r="B585" s="1" t="s">
        <v>28</v>
      </c>
      <c r="C585" s="2">
        <v>43304</v>
      </c>
      <c r="D585" s="1" t="s">
        <v>14</v>
      </c>
      <c r="E585" s="1">
        <v>10</v>
      </c>
      <c r="F585" s="1">
        <v>40</v>
      </c>
      <c r="G585" s="1">
        <v>400</v>
      </c>
      <c r="H585" s="1">
        <v>0.03</v>
      </c>
      <c r="I585" s="1" t="s">
        <v>37</v>
      </c>
    </row>
    <row r="586" spans="1:9" x14ac:dyDescent="0.3">
      <c r="A586" s="1" t="s">
        <v>615</v>
      </c>
      <c r="B586" s="1" t="s">
        <v>28</v>
      </c>
      <c r="C586" s="2">
        <v>43304</v>
      </c>
      <c r="D586" s="1" t="s">
        <v>14</v>
      </c>
      <c r="E586" s="1">
        <v>14</v>
      </c>
      <c r="F586" s="1">
        <v>40</v>
      </c>
      <c r="G586" s="1">
        <v>560</v>
      </c>
      <c r="H586" s="1">
        <v>0.11</v>
      </c>
      <c r="I586" s="1" t="s">
        <v>30</v>
      </c>
    </row>
    <row r="587" spans="1:9" x14ac:dyDescent="0.3">
      <c r="A587" s="1" t="s">
        <v>616</v>
      </c>
      <c r="B587" s="1" t="s">
        <v>28</v>
      </c>
      <c r="C587" s="2">
        <v>43304</v>
      </c>
      <c r="D587" s="1" t="s">
        <v>14</v>
      </c>
      <c r="E587" s="1">
        <v>16</v>
      </c>
      <c r="F587" s="1">
        <v>40</v>
      </c>
      <c r="G587" s="1">
        <v>640</v>
      </c>
      <c r="H587" s="1">
        <v>0.09</v>
      </c>
      <c r="I587" s="1" t="s">
        <v>33</v>
      </c>
    </row>
    <row r="588" spans="1:9" x14ac:dyDescent="0.3">
      <c r="A588" s="1" t="s">
        <v>617</v>
      </c>
      <c r="B588" s="1" t="s">
        <v>25</v>
      </c>
      <c r="C588" s="2">
        <v>43305</v>
      </c>
      <c r="D588" s="1" t="s">
        <v>14</v>
      </c>
      <c r="E588" s="1">
        <v>23</v>
      </c>
      <c r="F588" s="1">
        <v>40</v>
      </c>
      <c r="G588" s="1">
        <v>920</v>
      </c>
      <c r="H588" s="1">
        <v>0.06</v>
      </c>
      <c r="I588" s="1" t="s">
        <v>35</v>
      </c>
    </row>
    <row r="589" spans="1:9" x14ac:dyDescent="0.3">
      <c r="A589" s="1" t="s">
        <v>618</v>
      </c>
      <c r="B589" s="1" t="s">
        <v>25</v>
      </c>
      <c r="C589" s="2">
        <v>43305</v>
      </c>
      <c r="D589" s="1" t="s">
        <v>17</v>
      </c>
      <c r="E589" s="1">
        <v>8</v>
      </c>
      <c r="F589" s="1">
        <v>230</v>
      </c>
      <c r="G589" s="1">
        <v>1840</v>
      </c>
      <c r="H589" s="1">
        <v>0.05</v>
      </c>
      <c r="I589" s="1" t="s">
        <v>37</v>
      </c>
    </row>
    <row r="590" spans="1:9" x14ac:dyDescent="0.3">
      <c r="A590" s="1" t="s">
        <v>619</v>
      </c>
      <c r="B590" s="1" t="s">
        <v>25</v>
      </c>
      <c r="C590" s="2">
        <v>43305</v>
      </c>
      <c r="D590" s="1" t="s">
        <v>29</v>
      </c>
      <c r="E590" s="1">
        <v>14</v>
      </c>
      <c r="F590" s="1">
        <v>16</v>
      </c>
      <c r="G590" s="1">
        <v>224</v>
      </c>
      <c r="H590" s="1">
        <v>0.12</v>
      </c>
      <c r="I590" s="1" t="s">
        <v>30</v>
      </c>
    </row>
    <row r="591" spans="1:9" x14ac:dyDescent="0.3">
      <c r="A591" s="1" t="s">
        <v>620</v>
      </c>
      <c r="B591" s="1" t="s">
        <v>9</v>
      </c>
      <c r="C591" s="2">
        <v>43305</v>
      </c>
      <c r="D591" s="1" t="s">
        <v>10</v>
      </c>
      <c r="E591" s="1">
        <v>17</v>
      </c>
      <c r="F591" s="1">
        <v>80</v>
      </c>
      <c r="G591" s="1">
        <v>1360</v>
      </c>
      <c r="H591" s="1">
        <v>0.09</v>
      </c>
      <c r="I591" s="1" t="s">
        <v>33</v>
      </c>
    </row>
    <row r="592" spans="1:9" x14ac:dyDescent="0.3">
      <c r="A592" s="1" t="s">
        <v>621</v>
      </c>
      <c r="B592" s="1" t="s">
        <v>22</v>
      </c>
      <c r="C592" s="2">
        <v>43305</v>
      </c>
      <c r="D592" s="1" t="s">
        <v>32</v>
      </c>
      <c r="E592" s="1">
        <v>11</v>
      </c>
      <c r="F592" s="1">
        <v>150</v>
      </c>
      <c r="G592" s="1">
        <v>1650</v>
      </c>
      <c r="H592" s="1">
        <v>0.11</v>
      </c>
      <c r="I592" s="1" t="s">
        <v>35</v>
      </c>
    </row>
    <row r="593" spans="1:9" x14ac:dyDescent="0.3">
      <c r="A593" s="1" t="s">
        <v>622</v>
      </c>
      <c r="B593" s="1" t="s">
        <v>25</v>
      </c>
      <c r="C593" s="2">
        <v>43305</v>
      </c>
      <c r="D593" s="1" t="s">
        <v>14</v>
      </c>
      <c r="E593" s="1">
        <v>15</v>
      </c>
      <c r="F593" s="1">
        <v>40</v>
      </c>
      <c r="G593" s="1">
        <v>600</v>
      </c>
      <c r="H593" s="1">
        <v>0.03</v>
      </c>
      <c r="I593" s="1" t="s">
        <v>37</v>
      </c>
    </row>
    <row r="594" spans="1:9" x14ac:dyDescent="0.3">
      <c r="A594" s="1" t="s">
        <v>623</v>
      </c>
      <c r="B594" s="1" t="s">
        <v>28</v>
      </c>
      <c r="C594" s="2">
        <v>43305</v>
      </c>
      <c r="D594" s="1" t="s">
        <v>10</v>
      </c>
      <c r="E594" s="1">
        <v>9</v>
      </c>
      <c r="F594" s="1">
        <v>80</v>
      </c>
      <c r="G594" s="1">
        <v>720</v>
      </c>
      <c r="H594" s="1">
        <v>7.0000000000000007E-2</v>
      </c>
      <c r="I594" s="1" t="s">
        <v>30</v>
      </c>
    </row>
    <row r="595" spans="1:9" x14ac:dyDescent="0.3">
      <c r="A595" s="1" t="s">
        <v>624</v>
      </c>
      <c r="B595" s="1" t="s">
        <v>13</v>
      </c>
      <c r="C595" s="2">
        <v>43305</v>
      </c>
      <c r="D595" s="1" t="s">
        <v>17</v>
      </c>
      <c r="E595" s="1">
        <v>22</v>
      </c>
      <c r="F595" s="1">
        <v>230</v>
      </c>
      <c r="G595" s="1">
        <v>5060</v>
      </c>
      <c r="H595" s="1">
        <v>0.04</v>
      </c>
      <c r="I595" s="1" t="s">
        <v>33</v>
      </c>
    </row>
    <row r="596" spans="1:9" x14ac:dyDescent="0.3">
      <c r="A596" s="1" t="s">
        <v>625</v>
      </c>
      <c r="B596" s="1" t="s">
        <v>13</v>
      </c>
      <c r="C596" s="2">
        <v>43305</v>
      </c>
      <c r="D596" s="1" t="s">
        <v>17</v>
      </c>
      <c r="E596" s="1">
        <v>11</v>
      </c>
      <c r="F596" s="1">
        <v>230</v>
      </c>
      <c r="G596" s="1">
        <v>2530</v>
      </c>
      <c r="H596" s="1">
        <v>0.1</v>
      </c>
      <c r="I596" s="1" t="s">
        <v>35</v>
      </c>
    </row>
    <row r="597" spans="1:9" x14ac:dyDescent="0.3">
      <c r="A597" s="1" t="s">
        <v>626</v>
      </c>
      <c r="B597" s="1" t="s">
        <v>22</v>
      </c>
      <c r="C597" s="2">
        <v>43305</v>
      </c>
      <c r="D597" s="1" t="s">
        <v>14</v>
      </c>
      <c r="E597" s="1">
        <v>11</v>
      </c>
      <c r="F597" s="1">
        <v>40</v>
      </c>
      <c r="G597" s="1">
        <v>440</v>
      </c>
      <c r="H597" s="1">
        <v>0.12</v>
      </c>
      <c r="I597" s="1" t="s">
        <v>37</v>
      </c>
    </row>
    <row r="598" spans="1:9" x14ac:dyDescent="0.3">
      <c r="A598" s="1" t="s">
        <v>627</v>
      </c>
      <c r="B598" s="1" t="s">
        <v>25</v>
      </c>
      <c r="C598" s="2">
        <v>43305</v>
      </c>
      <c r="D598" s="1" t="s">
        <v>14</v>
      </c>
      <c r="E598" s="1">
        <v>9</v>
      </c>
      <c r="F598" s="1">
        <v>40</v>
      </c>
      <c r="G598" s="1">
        <v>360</v>
      </c>
      <c r="H598" s="1">
        <v>0.06</v>
      </c>
      <c r="I598" s="1" t="s">
        <v>30</v>
      </c>
    </row>
    <row r="599" spans="1:9" x14ac:dyDescent="0.3">
      <c r="A599" s="1" t="s">
        <v>628</v>
      </c>
      <c r="B599" s="1" t="s">
        <v>25</v>
      </c>
      <c r="C599" s="2">
        <v>43306</v>
      </c>
      <c r="D599" s="1" t="s">
        <v>14</v>
      </c>
      <c r="E599" s="1">
        <v>13</v>
      </c>
      <c r="F599" s="1">
        <v>40</v>
      </c>
      <c r="G599" s="1">
        <v>520</v>
      </c>
      <c r="H599" s="1">
        <v>0.09</v>
      </c>
      <c r="I599" s="1" t="s">
        <v>33</v>
      </c>
    </row>
    <row r="600" spans="1:9" x14ac:dyDescent="0.3">
      <c r="A600" s="1" t="s">
        <v>629</v>
      </c>
      <c r="B600" s="1" t="s">
        <v>13</v>
      </c>
      <c r="C600" s="2">
        <v>43306</v>
      </c>
      <c r="D600" s="1" t="s">
        <v>14</v>
      </c>
      <c r="E600" s="1">
        <v>4</v>
      </c>
      <c r="F600" s="1">
        <v>40</v>
      </c>
      <c r="G600" s="1">
        <v>160</v>
      </c>
      <c r="H600" s="1">
        <v>0.12</v>
      </c>
      <c r="I600" s="1" t="s">
        <v>35</v>
      </c>
    </row>
    <row r="601" spans="1:9" x14ac:dyDescent="0.3">
      <c r="A601" s="1" t="s">
        <v>630</v>
      </c>
      <c r="B601" s="1" t="s">
        <v>9</v>
      </c>
      <c r="C601" s="2">
        <v>43306</v>
      </c>
      <c r="D601" s="1" t="s">
        <v>32</v>
      </c>
      <c r="E601" s="1">
        <v>22</v>
      </c>
      <c r="F601" s="1">
        <v>150</v>
      </c>
      <c r="G601" s="1">
        <v>3300</v>
      </c>
      <c r="H601" s="1">
        <v>0.05</v>
      </c>
      <c r="I601" s="1" t="s">
        <v>37</v>
      </c>
    </row>
    <row r="602" spans="1:9" x14ac:dyDescent="0.3">
      <c r="A602" s="1" t="s">
        <v>631</v>
      </c>
      <c r="B602" s="1" t="s">
        <v>28</v>
      </c>
      <c r="C602" s="2">
        <v>43306</v>
      </c>
      <c r="D602" s="1" t="s">
        <v>14</v>
      </c>
      <c r="E602" s="1">
        <v>21</v>
      </c>
      <c r="F602" s="1">
        <v>40</v>
      </c>
      <c r="G602" s="1">
        <v>840</v>
      </c>
      <c r="H602" s="1">
        <v>0.01</v>
      </c>
      <c r="I602" s="1" t="s">
        <v>30</v>
      </c>
    </row>
    <row r="603" spans="1:9" x14ac:dyDescent="0.3">
      <c r="A603" s="1" t="s">
        <v>632</v>
      </c>
      <c r="B603" s="1" t="s">
        <v>9</v>
      </c>
      <c r="C603" s="2">
        <v>43306</v>
      </c>
      <c r="D603" s="1" t="s">
        <v>29</v>
      </c>
      <c r="E603" s="1">
        <v>16</v>
      </c>
      <c r="F603" s="1">
        <v>16</v>
      </c>
      <c r="G603" s="1">
        <v>256</v>
      </c>
      <c r="H603" s="1">
        <v>0.03</v>
      </c>
      <c r="I603" s="1" t="s">
        <v>33</v>
      </c>
    </row>
    <row r="604" spans="1:9" x14ac:dyDescent="0.3">
      <c r="A604" s="1" t="s">
        <v>633</v>
      </c>
      <c r="B604" s="1" t="s">
        <v>25</v>
      </c>
      <c r="C604" s="2">
        <v>43306</v>
      </c>
      <c r="D604" s="1" t="s">
        <v>10</v>
      </c>
      <c r="E604" s="1">
        <v>16</v>
      </c>
      <c r="F604" s="1">
        <v>80</v>
      </c>
      <c r="G604" s="1">
        <v>1280</v>
      </c>
      <c r="H604" s="1">
        <v>7.0000000000000007E-2</v>
      </c>
      <c r="I604" s="1" t="s">
        <v>35</v>
      </c>
    </row>
    <row r="605" spans="1:9" x14ac:dyDescent="0.3">
      <c r="A605" s="1" t="s">
        <v>634</v>
      </c>
      <c r="B605" s="1" t="s">
        <v>13</v>
      </c>
      <c r="C605" s="2">
        <v>43306</v>
      </c>
      <c r="D605" s="1" t="s">
        <v>10</v>
      </c>
      <c r="E605" s="1">
        <v>15</v>
      </c>
      <c r="F605" s="1">
        <v>80</v>
      </c>
      <c r="G605" s="1">
        <v>1200</v>
      </c>
      <c r="H605" s="1">
        <v>0.12</v>
      </c>
      <c r="I605" s="1" t="s">
        <v>37</v>
      </c>
    </row>
    <row r="606" spans="1:9" x14ac:dyDescent="0.3">
      <c r="A606" s="1" t="s">
        <v>635</v>
      </c>
      <c r="B606" s="1" t="s">
        <v>9</v>
      </c>
      <c r="C606" s="2">
        <v>43306</v>
      </c>
      <c r="D606" s="1" t="s">
        <v>32</v>
      </c>
      <c r="E606" s="1">
        <v>20</v>
      </c>
      <c r="F606" s="1">
        <v>150</v>
      </c>
      <c r="G606" s="1">
        <v>3000</v>
      </c>
      <c r="H606" s="1">
        <v>0.03</v>
      </c>
      <c r="I606" s="1" t="s">
        <v>30</v>
      </c>
    </row>
    <row r="607" spans="1:9" x14ac:dyDescent="0.3">
      <c r="A607" s="1" t="s">
        <v>636</v>
      </c>
      <c r="B607" s="1" t="s">
        <v>25</v>
      </c>
      <c r="C607" s="2">
        <v>43306</v>
      </c>
      <c r="D607" s="1" t="s">
        <v>14</v>
      </c>
      <c r="E607" s="1">
        <v>13</v>
      </c>
      <c r="F607" s="1">
        <v>40</v>
      </c>
      <c r="G607" s="1">
        <v>520</v>
      </c>
      <c r="H607" s="1">
        <v>0.06</v>
      </c>
      <c r="I607" s="1" t="s">
        <v>33</v>
      </c>
    </row>
    <row r="608" spans="1:9" x14ac:dyDescent="0.3">
      <c r="A608" s="1" t="s">
        <v>637</v>
      </c>
      <c r="B608" s="1" t="s">
        <v>28</v>
      </c>
      <c r="C608" s="2">
        <v>43306</v>
      </c>
      <c r="D608" s="1" t="s">
        <v>29</v>
      </c>
      <c r="E608" s="1">
        <v>3</v>
      </c>
      <c r="F608" s="1">
        <v>16</v>
      </c>
      <c r="G608" s="1">
        <v>48</v>
      </c>
      <c r="H608" s="1">
        <v>0.06</v>
      </c>
      <c r="I608" s="1" t="s">
        <v>35</v>
      </c>
    </row>
    <row r="609" spans="1:9" x14ac:dyDescent="0.3">
      <c r="A609" s="1" t="s">
        <v>638</v>
      </c>
      <c r="B609" s="1" t="s">
        <v>22</v>
      </c>
      <c r="C609" s="2">
        <v>43306</v>
      </c>
      <c r="D609" s="1" t="s">
        <v>29</v>
      </c>
      <c r="E609" s="1">
        <v>11</v>
      </c>
      <c r="F609" s="1">
        <v>16</v>
      </c>
      <c r="G609" s="1">
        <v>176</v>
      </c>
      <c r="H609" s="1">
        <v>0.04</v>
      </c>
      <c r="I609" s="1" t="s">
        <v>37</v>
      </c>
    </row>
    <row r="610" spans="1:9" x14ac:dyDescent="0.3">
      <c r="A610" s="1" t="s">
        <v>639</v>
      </c>
      <c r="B610" s="1" t="s">
        <v>28</v>
      </c>
      <c r="C610" s="2">
        <v>43307</v>
      </c>
      <c r="D610" s="1" t="s">
        <v>14</v>
      </c>
      <c r="E610" s="1">
        <v>16</v>
      </c>
      <c r="F610" s="1">
        <v>40</v>
      </c>
      <c r="G610" s="1">
        <v>640</v>
      </c>
      <c r="H610" s="1">
        <v>0.09</v>
      </c>
      <c r="I610" s="1" t="s">
        <v>30</v>
      </c>
    </row>
    <row r="611" spans="1:9" x14ac:dyDescent="0.3">
      <c r="A611" s="1" t="s">
        <v>640</v>
      </c>
      <c r="B611" s="1" t="s">
        <v>22</v>
      </c>
      <c r="C611" s="2">
        <v>43307</v>
      </c>
      <c r="D611" s="1" t="s">
        <v>14</v>
      </c>
      <c r="E611" s="1">
        <v>4</v>
      </c>
      <c r="F611" s="1">
        <v>40</v>
      </c>
      <c r="G611" s="1">
        <v>160</v>
      </c>
      <c r="H611" s="1">
        <v>0.06</v>
      </c>
      <c r="I611" s="1" t="s">
        <v>33</v>
      </c>
    </row>
    <row r="612" spans="1:9" x14ac:dyDescent="0.3">
      <c r="A612" s="1" t="s">
        <v>641</v>
      </c>
      <c r="B612" s="1" t="s">
        <v>22</v>
      </c>
      <c r="C612" s="2">
        <v>43307</v>
      </c>
      <c r="D612" s="1" t="s">
        <v>14</v>
      </c>
      <c r="E612" s="1">
        <v>20</v>
      </c>
      <c r="F612" s="1">
        <v>40</v>
      </c>
      <c r="G612" s="1">
        <v>800</v>
      </c>
      <c r="H612" s="1">
        <v>0.01</v>
      </c>
      <c r="I612" s="1" t="s">
        <v>35</v>
      </c>
    </row>
    <row r="613" spans="1:9" x14ac:dyDescent="0.3">
      <c r="A613" s="1" t="s">
        <v>642</v>
      </c>
      <c r="B613" s="1" t="s">
        <v>22</v>
      </c>
      <c r="C613" s="2">
        <v>43307</v>
      </c>
      <c r="D613" s="1" t="s">
        <v>14</v>
      </c>
      <c r="E613" s="1">
        <v>4</v>
      </c>
      <c r="F613" s="1">
        <v>40</v>
      </c>
      <c r="G613" s="1">
        <v>160</v>
      </c>
      <c r="H613" s="1">
        <v>0.1</v>
      </c>
      <c r="I613" s="1" t="s">
        <v>37</v>
      </c>
    </row>
    <row r="614" spans="1:9" x14ac:dyDescent="0.3">
      <c r="A614" s="1" t="s">
        <v>643</v>
      </c>
      <c r="B614" s="1" t="s">
        <v>13</v>
      </c>
      <c r="C614" s="2">
        <v>43307</v>
      </c>
      <c r="D614" s="1" t="s">
        <v>10</v>
      </c>
      <c r="E614" s="1">
        <v>14</v>
      </c>
      <c r="F614" s="1">
        <v>80</v>
      </c>
      <c r="G614" s="1">
        <v>1120</v>
      </c>
      <c r="H614" s="1">
        <v>0.06</v>
      </c>
      <c r="I614" s="1" t="s">
        <v>30</v>
      </c>
    </row>
    <row r="615" spans="1:9" x14ac:dyDescent="0.3">
      <c r="A615" s="1" t="s">
        <v>644</v>
      </c>
      <c r="B615" s="1" t="s">
        <v>13</v>
      </c>
      <c r="C615" s="2">
        <v>43307</v>
      </c>
      <c r="D615" s="1" t="s">
        <v>32</v>
      </c>
      <c r="E615" s="1">
        <v>15</v>
      </c>
      <c r="F615" s="1">
        <v>150</v>
      </c>
      <c r="G615" s="1">
        <v>2250</v>
      </c>
      <c r="H615" s="1">
        <v>0.02</v>
      </c>
      <c r="I615" s="1" t="s">
        <v>33</v>
      </c>
    </row>
    <row r="616" spans="1:9" x14ac:dyDescent="0.3">
      <c r="A616" s="1" t="s">
        <v>645</v>
      </c>
      <c r="B616" s="1" t="s">
        <v>22</v>
      </c>
      <c r="C616" s="2">
        <v>43307</v>
      </c>
      <c r="D616" s="1" t="s">
        <v>10</v>
      </c>
      <c r="E616" s="1">
        <v>14</v>
      </c>
      <c r="F616" s="1">
        <v>80</v>
      </c>
      <c r="G616" s="1">
        <v>1120</v>
      </c>
      <c r="H616" s="1">
        <v>0.1</v>
      </c>
      <c r="I616" s="1" t="s">
        <v>35</v>
      </c>
    </row>
    <row r="617" spans="1:9" x14ac:dyDescent="0.3">
      <c r="A617" s="1" t="s">
        <v>646</v>
      </c>
      <c r="B617" s="1" t="s">
        <v>9</v>
      </c>
      <c r="C617" s="2">
        <v>43307</v>
      </c>
      <c r="D617" s="1" t="s">
        <v>32</v>
      </c>
      <c r="E617" s="1">
        <v>20</v>
      </c>
      <c r="F617" s="1">
        <v>150</v>
      </c>
      <c r="G617" s="1">
        <v>3000</v>
      </c>
      <c r="H617" s="1">
        <v>0.04</v>
      </c>
      <c r="I617" s="1" t="s">
        <v>37</v>
      </c>
    </row>
    <row r="618" spans="1:9" x14ac:dyDescent="0.3">
      <c r="A618" s="1" t="s">
        <v>647</v>
      </c>
      <c r="B618" s="1" t="s">
        <v>28</v>
      </c>
      <c r="C618" s="2">
        <v>43307</v>
      </c>
      <c r="D618" s="1" t="s">
        <v>10</v>
      </c>
      <c r="E618" s="1">
        <v>22</v>
      </c>
      <c r="F618" s="1">
        <v>80</v>
      </c>
      <c r="G618" s="1">
        <v>1760</v>
      </c>
      <c r="H618" s="1">
        <v>0.1</v>
      </c>
      <c r="I618" s="1" t="s">
        <v>30</v>
      </c>
    </row>
    <row r="619" spans="1:9" x14ac:dyDescent="0.3">
      <c r="A619" s="1" t="s">
        <v>648</v>
      </c>
      <c r="B619" s="1" t="s">
        <v>28</v>
      </c>
      <c r="C619" s="2">
        <v>43307</v>
      </c>
      <c r="D619" s="1" t="s">
        <v>17</v>
      </c>
      <c r="E619" s="1">
        <v>20</v>
      </c>
      <c r="F619" s="1">
        <v>230</v>
      </c>
      <c r="G619" s="1">
        <v>4600</v>
      </c>
      <c r="H619" s="1">
        <v>0.09</v>
      </c>
      <c r="I619" s="1" t="s">
        <v>33</v>
      </c>
    </row>
    <row r="620" spans="1:9" x14ac:dyDescent="0.3">
      <c r="A620" s="1" t="s">
        <v>649</v>
      </c>
      <c r="B620" s="1" t="s">
        <v>22</v>
      </c>
      <c r="C620" s="2">
        <v>43307</v>
      </c>
      <c r="D620" s="1" t="s">
        <v>17</v>
      </c>
      <c r="E620" s="1">
        <v>12</v>
      </c>
      <c r="F620" s="1">
        <v>230</v>
      </c>
      <c r="G620" s="1">
        <v>2760</v>
      </c>
      <c r="H620" s="1">
        <v>0.03</v>
      </c>
      <c r="I620" s="1" t="s">
        <v>35</v>
      </c>
    </row>
    <row r="621" spans="1:9" x14ac:dyDescent="0.3">
      <c r="A621" s="1" t="s">
        <v>650</v>
      </c>
      <c r="B621" s="1" t="s">
        <v>9</v>
      </c>
      <c r="C621" s="2">
        <v>43308</v>
      </c>
      <c r="D621" s="1" t="s">
        <v>10</v>
      </c>
      <c r="E621" s="1">
        <v>21</v>
      </c>
      <c r="F621" s="1">
        <v>80</v>
      </c>
      <c r="G621" s="1">
        <v>1680</v>
      </c>
      <c r="H621" s="1">
        <v>0.04</v>
      </c>
      <c r="I621" s="1" t="s">
        <v>37</v>
      </c>
    </row>
    <row r="622" spans="1:9" x14ac:dyDescent="0.3">
      <c r="A622" s="1" t="s">
        <v>651</v>
      </c>
      <c r="B622" s="1" t="s">
        <v>13</v>
      </c>
      <c r="C622" s="2">
        <v>43308</v>
      </c>
      <c r="D622" s="1" t="s">
        <v>14</v>
      </c>
      <c r="E622" s="1">
        <v>15</v>
      </c>
      <c r="F622" s="1">
        <v>40</v>
      </c>
      <c r="G622" s="1">
        <v>600</v>
      </c>
      <c r="H622" s="1">
        <v>0.04</v>
      </c>
      <c r="I622" s="1" t="s">
        <v>30</v>
      </c>
    </row>
    <row r="623" spans="1:9" x14ac:dyDescent="0.3">
      <c r="A623" s="1" t="s">
        <v>652</v>
      </c>
      <c r="B623" s="1" t="s">
        <v>25</v>
      </c>
      <c r="C623" s="2">
        <v>43308</v>
      </c>
      <c r="D623" s="1" t="s">
        <v>10</v>
      </c>
      <c r="E623" s="1">
        <v>16</v>
      </c>
      <c r="F623" s="1">
        <v>80</v>
      </c>
      <c r="G623" s="1">
        <v>1280</v>
      </c>
      <c r="H623" s="1">
        <v>0.1</v>
      </c>
      <c r="I623" s="1" t="s">
        <v>33</v>
      </c>
    </row>
    <row r="624" spans="1:9" x14ac:dyDescent="0.3">
      <c r="A624" s="1" t="s">
        <v>653</v>
      </c>
      <c r="B624" s="1" t="s">
        <v>28</v>
      </c>
      <c r="C624" s="2">
        <v>43308</v>
      </c>
      <c r="D624" s="1" t="s">
        <v>17</v>
      </c>
      <c r="E624" s="1">
        <v>17</v>
      </c>
      <c r="F624" s="1">
        <v>230</v>
      </c>
      <c r="G624" s="1">
        <v>3910</v>
      </c>
      <c r="H624" s="1">
        <v>0.11</v>
      </c>
      <c r="I624" s="1" t="s">
        <v>35</v>
      </c>
    </row>
    <row r="625" spans="1:9" x14ac:dyDescent="0.3">
      <c r="A625" s="1" t="s">
        <v>654</v>
      </c>
      <c r="B625" s="1" t="s">
        <v>28</v>
      </c>
      <c r="C625" s="2">
        <v>43308</v>
      </c>
      <c r="D625" s="1" t="s">
        <v>17</v>
      </c>
      <c r="E625" s="1">
        <v>5</v>
      </c>
      <c r="F625" s="1">
        <v>230</v>
      </c>
      <c r="G625" s="1">
        <v>1150</v>
      </c>
      <c r="H625" s="1">
        <v>0.12</v>
      </c>
      <c r="I625" s="1" t="s">
        <v>37</v>
      </c>
    </row>
    <row r="626" spans="1:9" x14ac:dyDescent="0.3">
      <c r="A626" s="1" t="s">
        <v>655</v>
      </c>
      <c r="B626" s="1" t="s">
        <v>9</v>
      </c>
      <c r="C626" s="2">
        <v>43308</v>
      </c>
      <c r="D626" s="1" t="s">
        <v>29</v>
      </c>
      <c r="E626" s="1">
        <v>20</v>
      </c>
      <c r="F626" s="1">
        <v>16</v>
      </c>
      <c r="G626" s="1">
        <v>320</v>
      </c>
      <c r="H626" s="1">
        <v>0.01</v>
      </c>
      <c r="I626" s="1" t="s">
        <v>30</v>
      </c>
    </row>
    <row r="627" spans="1:9" x14ac:dyDescent="0.3">
      <c r="A627" s="1" t="s">
        <v>656</v>
      </c>
      <c r="B627" s="1" t="s">
        <v>9</v>
      </c>
      <c r="C627" s="2">
        <v>43308</v>
      </c>
      <c r="D627" s="1" t="s">
        <v>17</v>
      </c>
      <c r="E627" s="1">
        <v>5</v>
      </c>
      <c r="F627" s="1">
        <v>230</v>
      </c>
      <c r="G627" s="1">
        <v>1150</v>
      </c>
      <c r="H627" s="1">
        <v>0.1</v>
      </c>
      <c r="I627" s="1" t="s">
        <v>33</v>
      </c>
    </row>
    <row r="628" spans="1:9" x14ac:dyDescent="0.3">
      <c r="A628" s="1" t="s">
        <v>657</v>
      </c>
      <c r="B628" s="1" t="s">
        <v>13</v>
      </c>
      <c r="C628" s="2">
        <v>43308</v>
      </c>
      <c r="D628" s="1" t="s">
        <v>14</v>
      </c>
      <c r="E628" s="1">
        <v>8</v>
      </c>
      <c r="F628" s="1">
        <v>40</v>
      </c>
      <c r="G628" s="1">
        <v>320</v>
      </c>
      <c r="H628" s="1">
        <v>0.09</v>
      </c>
      <c r="I628" s="1" t="s">
        <v>35</v>
      </c>
    </row>
    <row r="629" spans="1:9" x14ac:dyDescent="0.3">
      <c r="A629" s="1" t="s">
        <v>658</v>
      </c>
      <c r="B629" s="1" t="s">
        <v>9</v>
      </c>
      <c r="C629" s="2">
        <v>43308</v>
      </c>
      <c r="D629" s="1" t="s">
        <v>29</v>
      </c>
      <c r="E629" s="1">
        <v>7</v>
      </c>
      <c r="F629" s="1">
        <v>16</v>
      </c>
      <c r="G629" s="1">
        <v>112</v>
      </c>
      <c r="H629" s="1">
        <v>0.02</v>
      </c>
      <c r="I629" s="1" t="s">
        <v>37</v>
      </c>
    </row>
    <row r="630" spans="1:9" x14ac:dyDescent="0.3">
      <c r="A630" s="1" t="s">
        <v>659</v>
      </c>
      <c r="B630" s="1" t="s">
        <v>25</v>
      </c>
      <c r="C630" s="2">
        <v>43308</v>
      </c>
      <c r="D630" s="1" t="s">
        <v>32</v>
      </c>
      <c r="E630" s="1">
        <v>15</v>
      </c>
      <c r="F630" s="1">
        <v>150</v>
      </c>
      <c r="G630" s="1">
        <v>2250</v>
      </c>
      <c r="H630" s="1">
        <v>0.08</v>
      </c>
      <c r="I630" s="1" t="s">
        <v>30</v>
      </c>
    </row>
    <row r="631" spans="1:9" x14ac:dyDescent="0.3">
      <c r="A631" s="1" t="s">
        <v>660</v>
      </c>
      <c r="B631" s="1" t="s">
        <v>28</v>
      </c>
      <c r="C631" s="2">
        <v>43308</v>
      </c>
      <c r="D631" s="1" t="s">
        <v>17</v>
      </c>
      <c r="E631" s="1">
        <v>20</v>
      </c>
      <c r="F631" s="1">
        <v>230</v>
      </c>
      <c r="G631" s="1">
        <v>4600</v>
      </c>
      <c r="H631" s="1">
        <v>0.11</v>
      </c>
      <c r="I631" s="1" t="s">
        <v>33</v>
      </c>
    </row>
    <row r="632" spans="1:9" x14ac:dyDescent="0.3">
      <c r="A632" s="1" t="s">
        <v>661</v>
      </c>
      <c r="B632" s="1" t="s">
        <v>13</v>
      </c>
      <c r="C632" s="2">
        <v>43308</v>
      </c>
      <c r="D632" s="1" t="s">
        <v>29</v>
      </c>
      <c r="E632" s="1">
        <v>4</v>
      </c>
      <c r="F632" s="1">
        <v>16</v>
      </c>
      <c r="G632" s="1">
        <v>64</v>
      </c>
      <c r="H632" s="1">
        <v>0.09</v>
      </c>
      <c r="I632" s="1" t="s">
        <v>35</v>
      </c>
    </row>
    <row r="633" spans="1:9" x14ac:dyDescent="0.3">
      <c r="A633" s="1" t="s">
        <v>662</v>
      </c>
      <c r="B633" s="1" t="s">
        <v>25</v>
      </c>
      <c r="C633" s="2">
        <v>43308</v>
      </c>
      <c r="D633" s="1" t="s">
        <v>14</v>
      </c>
      <c r="E633" s="1">
        <v>11</v>
      </c>
      <c r="F633" s="1">
        <v>40</v>
      </c>
      <c r="G633" s="1">
        <v>440</v>
      </c>
      <c r="H633" s="1">
        <v>0.09</v>
      </c>
      <c r="I633" s="1" t="s">
        <v>37</v>
      </c>
    </row>
    <row r="634" spans="1:9" x14ac:dyDescent="0.3">
      <c r="A634" s="1" t="s">
        <v>663</v>
      </c>
      <c r="B634" s="1" t="s">
        <v>22</v>
      </c>
      <c r="C634" s="2">
        <v>43308</v>
      </c>
      <c r="D634" s="1" t="s">
        <v>32</v>
      </c>
      <c r="E634" s="1">
        <v>15</v>
      </c>
      <c r="F634" s="1">
        <v>150</v>
      </c>
      <c r="G634" s="1">
        <v>2250</v>
      </c>
      <c r="H634" s="1">
        <v>0.05</v>
      </c>
      <c r="I634" s="1" t="s">
        <v>30</v>
      </c>
    </row>
    <row r="635" spans="1:9" x14ac:dyDescent="0.3">
      <c r="A635" s="1" t="s">
        <v>664</v>
      </c>
      <c r="B635" s="1" t="s">
        <v>22</v>
      </c>
      <c r="C635" s="2">
        <v>43308</v>
      </c>
      <c r="D635" s="1" t="s">
        <v>17</v>
      </c>
      <c r="E635" s="1">
        <v>5</v>
      </c>
      <c r="F635" s="1">
        <v>230</v>
      </c>
      <c r="G635" s="1">
        <v>1150</v>
      </c>
      <c r="H635" s="1">
        <v>0.01</v>
      </c>
      <c r="I635" s="1" t="s">
        <v>33</v>
      </c>
    </row>
    <row r="636" spans="1:9" x14ac:dyDescent="0.3">
      <c r="A636" s="1" t="s">
        <v>665</v>
      </c>
      <c r="B636" s="1" t="s">
        <v>22</v>
      </c>
      <c r="C636" s="2">
        <v>43308</v>
      </c>
      <c r="D636" s="1" t="s">
        <v>17</v>
      </c>
      <c r="E636" s="1">
        <v>14</v>
      </c>
      <c r="F636" s="1">
        <v>230</v>
      </c>
      <c r="G636" s="1">
        <v>3220</v>
      </c>
      <c r="H636" s="1">
        <v>0.03</v>
      </c>
      <c r="I636" s="1" t="s">
        <v>35</v>
      </c>
    </row>
    <row r="637" spans="1:9" x14ac:dyDescent="0.3">
      <c r="A637" s="1" t="s">
        <v>666</v>
      </c>
      <c r="B637" s="1" t="s">
        <v>28</v>
      </c>
      <c r="C637" s="2">
        <v>43308</v>
      </c>
      <c r="D637" s="1" t="s">
        <v>14</v>
      </c>
      <c r="E637" s="1">
        <v>23</v>
      </c>
      <c r="F637" s="1">
        <v>40</v>
      </c>
      <c r="G637" s="1">
        <v>920</v>
      </c>
      <c r="H637" s="1">
        <v>0.05</v>
      </c>
      <c r="I637" s="1" t="s">
        <v>37</v>
      </c>
    </row>
    <row r="638" spans="1:9" x14ac:dyDescent="0.3">
      <c r="A638" s="1" t="s">
        <v>667</v>
      </c>
      <c r="B638" s="1" t="s">
        <v>25</v>
      </c>
      <c r="C638" s="2">
        <v>43308</v>
      </c>
      <c r="D638" s="1" t="s">
        <v>10</v>
      </c>
      <c r="E638" s="1">
        <v>22</v>
      </c>
      <c r="F638" s="1">
        <v>80</v>
      </c>
      <c r="G638" s="1">
        <v>1760</v>
      </c>
      <c r="H638" s="1">
        <v>0.03</v>
      </c>
      <c r="I638" s="1" t="s">
        <v>30</v>
      </c>
    </row>
    <row r="639" spans="1:9" x14ac:dyDescent="0.3">
      <c r="A639" s="1" t="s">
        <v>668</v>
      </c>
      <c r="B639" s="1" t="s">
        <v>22</v>
      </c>
      <c r="C639" s="2">
        <v>43309</v>
      </c>
      <c r="D639" s="1" t="s">
        <v>17</v>
      </c>
      <c r="E639" s="1">
        <v>20</v>
      </c>
      <c r="F639" s="1">
        <v>230</v>
      </c>
      <c r="G639" s="1">
        <v>4600</v>
      </c>
      <c r="H639" s="1">
        <v>0.06</v>
      </c>
      <c r="I639" s="1" t="s">
        <v>33</v>
      </c>
    </row>
    <row r="640" spans="1:9" x14ac:dyDescent="0.3">
      <c r="A640" s="1" t="s">
        <v>669</v>
      </c>
      <c r="B640" s="1" t="s">
        <v>13</v>
      </c>
      <c r="C640" s="2">
        <v>43309</v>
      </c>
      <c r="D640" s="1" t="s">
        <v>17</v>
      </c>
      <c r="E640" s="1">
        <v>15</v>
      </c>
      <c r="F640" s="1">
        <v>230</v>
      </c>
      <c r="G640" s="1">
        <v>3450</v>
      </c>
      <c r="H640" s="1">
        <v>0.09</v>
      </c>
      <c r="I640" s="1" t="s">
        <v>35</v>
      </c>
    </row>
    <row r="641" spans="1:9" x14ac:dyDescent="0.3">
      <c r="A641" s="1" t="s">
        <v>670</v>
      </c>
      <c r="B641" s="1" t="s">
        <v>22</v>
      </c>
      <c r="C641" s="2">
        <v>43309</v>
      </c>
      <c r="D641" s="1" t="s">
        <v>32</v>
      </c>
      <c r="E641" s="1">
        <v>18</v>
      </c>
      <c r="F641" s="1">
        <v>150</v>
      </c>
      <c r="G641" s="1">
        <v>2700</v>
      </c>
      <c r="H641" s="1">
        <v>0.06</v>
      </c>
      <c r="I641" s="1" t="s">
        <v>37</v>
      </c>
    </row>
    <row r="642" spans="1:9" x14ac:dyDescent="0.3">
      <c r="A642" s="1" t="s">
        <v>671</v>
      </c>
      <c r="B642" s="1" t="s">
        <v>9</v>
      </c>
      <c r="C642" s="2">
        <v>43309</v>
      </c>
      <c r="D642" s="1" t="s">
        <v>17</v>
      </c>
      <c r="E642" s="1">
        <v>3</v>
      </c>
      <c r="F642" s="1">
        <v>230</v>
      </c>
      <c r="G642" s="1">
        <v>690</v>
      </c>
      <c r="H642" s="1">
        <v>0.11</v>
      </c>
      <c r="I642" s="1" t="s">
        <v>30</v>
      </c>
    </row>
    <row r="643" spans="1:9" x14ac:dyDescent="0.3">
      <c r="A643" s="1" t="s">
        <v>672</v>
      </c>
      <c r="B643" s="1" t="s">
        <v>28</v>
      </c>
      <c r="C643" s="2">
        <v>43309</v>
      </c>
      <c r="D643" s="1" t="s">
        <v>32</v>
      </c>
      <c r="E643" s="1">
        <v>11</v>
      </c>
      <c r="F643" s="1">
        <v>150</v>
      </c>
      <c r="G643" s="1">
        <v>1650</v>
      </c>
      <c r="H643" s="1">
        <v>0.09</v>
      </c>
      <c r="I643" s="1" t="s">
        <v>33</v>
      </c>
    </row>
    <row r="644" spans="1:9" x14ac:dyDescent="0.3">
      <c r="A644" s="1" t="s">
        <v>673</v>
      </c>
      <c r="B644" s="1" t="s">
        <v>9</v>
      </c>
      <c r="C644" s="2">
        <v>43309</v>
      </c>
      <c r="D644" s="1" t="s">
        <v>17</v>
      </c>
      <c r="E644" s="1">
        <v>11</v>
      </c>
      <c r="F644" s="1">
        <v>230</v>
      </c>
      <c r="G644" s="1">
        <v>2530</v>
      </c>
      <c r="H644" s="1">
        <v>0.02</v>
      </c>
      <c r="I644" s="1" t="s">
        <v>35</v>
      </c>
    </row>
    <row r="645" spans="1:9" x14ac:dyDescent="0.3">
      <c r="A645" s="1" t="s">
        <v>674</v>
      </c>
      <c r="B645" s="1" t="s">
        <v>28</v>
      </c>
      <c r="C645" s="2">
        <v>43309</v>
      </c>
      <c r="D645" s="1" t="s">
        <v>17</v>
      </c>
      <c r="E645" s="1">
        <v>13</v>
      </c>
      <c r="F645" s="1">
        <v>230</v>
      </c>
      <c r="G645" s="1">
        <v>2990</v>
      </c>
      <c r="H645" s="1">
        <v>0.06</v>
      </c>
      <c r="I645" s="1" t="s">
        <v>37</v>
      </c>
    </row>
    <row r="646" spans="1:9" x14ac:dyDescent="0.3">
      <c r="A646" s="1" t="s">
        <v>675</v>
      </c>
      <c r="B646" s="1" t="s">
        <v>25</v>
      </c>
      <c r="C646" s="2">
        <v>43310</v>
      </c>
      <c r="D646" s="1" t="s">
        <v>10</v>
      </c>
      <c r="E646" s="1">
        <v>11</v>
      </c>
      <c r="F646" s="1">
        <v>80</v>
      </c>
      <c r="G646" s="1">
        <v>880</v>
      </c>
      <c r="H646" s="1">
        <v>0.01</v>
      </c>
      <c r="I646" s="1" t="s">
        <v>30</v>
      </c>
    </row>
    <row r="647" spans="1:9" x14ac:dyDescent="0.3">
      <c r="A647" s="1" t="s">
        <v>676</v>
      </c>
      <c r="B647" s="1" t="s">
        <v>28</v>
      </c>
      <c r="C647" s="2">
        <v>43310</v>
      </c>
      <c r="D647" s="1" t="s">
        <v>10</v>
      </c>
      <c r="E647" s="1">
        <v>17</v>
      </c>
      <c r="F647" s="1">
        <v>80</v>
      </c>
      <c r="G647" s="1">
        <v>1360</v>
      </c>
      <c r="H647" s="1">
        <v>7.0000000000000007E-2</v>
      </c>
      <c r="I647" s="1" t="s">
        <v>33</v>
      </c>
    </row>
    <row r="648" spans="1:9" x14ac:dyDescent="0.3">
      <c r="A648" s="1" t="s">
        <v>677</v>
      </c>
      <c r="B648" s="1" t="s">
        <v>28</v>
      </c>
      <c r="C648" s="2">
        <v>43310</v>
      </c>
      <c r="D648" s="1" t="s">
        <v>32</v>
      </c>
      <c r="E648" s="1">
        <v>15</v>
      </c>
      <c r="F648" s="1">
        <v>150</v>
      </c>
      <c r="G648" s="1">
        <v>2250</v>
      </c>
      <c r="H648" s="1">
        <v>7.0000000000000007E-2</v>
      </c>
      <c r="I648" s="1" t="s">
        <v>35</v>
      </c>
    </row>
    <row r="649" spans="1:9" x14ac:dyDescent="0.3">
      <c r="A649" s="1" t="s">
        <v>678</v>
      </c>
      <c r="B649" s="1" t="s">
        <v>28</v>
      </c>
      <c r="C649" s="2">
        <v>43310</v>
      </c>
      <c r="D649" s="1" t="s">
        <v>29</v>
      </c>
      <c r="E649" s="1">
        <v>14</v>
      </c>
      <c r="F649" s="1">
        <v>16</v>
      </c>
      <c r="G649" s="1">
        <v>224</v>
      </c>
      <c r="H649" s="1">
        <v>0.06</v>
      </c>
      <c r="I649" s="1" t="s">
        <v>37</v>
      </c>
    </row>
    <row r="650" spans="1:9" x14ac:dyDescent="0.3">
      <c r="A650" s="1" t="s">
        <v>679</v>
      </c>
      <c r="B650" s="1" t="s">
        <v>13</v>
      </c>
      <c r="C650" s="2">
        <v>43310</v>
      </c>
      <c r="D650" s="1" t="s">
        <v>29</v>
      </c>
      <c r="E650" s="1">
        <v>4</v>
      </c>
      <c r="F650" s="1">
        <v>16</v>
      </c>
      <c r="G650" s="1">
        <v>64</v>
      </c>
      <c r="H650" s="1">
        <v>7.0000000000000007E-2</v>
      </c>
      <c r="I650" s="1" t="s">
        <v>30</v>
      </c>
    </row>
    <row r="651" spans="1:9" x14ac:dyDescent="0.3">
      <c r="A651" s="1" t="s">
        <v>680</v>
      </c>
      <c r="B651" s="1" t="s">
        <v>28</v>
      </c>
      <c r="C651" s="2">
        <v>43310</v>
      </c>
      <c r="D651" s="1" t="s">
        <v>32</v>
      </c>
      <c r="E651" s="1">
        <v>23</v>
      </c>
      <c r="F651" s="1">
        <v>150</v>
      </c>
      <c r="G651" s="1">
        <v>3450</v>
      </c>
      <c r="H651" s="1">
        <v>0.08</v>
      </c>
      <c r="I651" s="1" t="s">
        <v>33</v>
      </c>
    </row>
    <row r="652" spans="1:9" x14ac:dyDescent="0.3">
      <c r="A652" s="1" t="s">
        <v>681</v>
      </c>
      <c r="B652" s="1" t="s">
        <v>22</v>
      </c>
      <c r="C652" s="2">
        <v>43310</v>
      </c>
      <c r="D652" s="1" t="s">
        <v>10</v>
      </c>
      <c r="E652" s="1">
        <v>10</v>
      </c>
      <c r="F652" s="1">
        <v>80</v>
      </c>
      <c r="G652" s="1">
        <v>800</v>
      </c>
      <c r="H652" s="1">
        <v>0.11</v>
      </c>
      <c r="I652" s="1" t="s">
        <v>35</v>
      </c>
    </row>
    <row r="653" spans="1:9" x14ac:dyDescent="0.3">
      <c r="A653" s="1" t="s">
        <v>682</v>
      </c>
      <c r="B653" s="1" t="s">
        <v>22</v>
      </c>
      <c r="C653" s="2">
        <v>43310</v>
      </c>
      <c r="D653" s="1" t="s">
        <v>17</v>
      </c>
      <c r="E653" s="1">
        <v>7</v>
      </c>
      <c r="F653" s="1">
        <v>230</v>
      </c>
      <c r="G653" s="1">
        <v>1610</v>
      </c>
      <c r="H653" s="1">
        <v>0.01</v>
      </c>
      <c r="I653" s="1" t="s">
        <v>37</v>
      </c>
    </row>
    <row r="654" spans="1:9" x14ac:dyDescent="0.3">
      <c r="A654" s="1" t="s">
        <v>683</v>
      </c>
      <c r="B654" s="1" t="s">
        <v>9</v>
      </c>
      <c r="C654" s="2">
        <v>43310</v>
      </c>
      <c r="D654" s="1" t="s">
        <v>17</v>
      </c>
      <c r="E654" s="1">
        <v>16</v>
      </c>
      <c r="F654" s="1">
        <v>230</v>
      </c>
      <c r="G654" s="1">
        <v>3680</v>
      </c>
      <c r="H654" s="1">
        <v>7.0000000000000007E-2</v>
      </c>
      <c r="I654" s="1" t="s">
        <v>30</v>
      </c>
    </row>
    <row r="655" spans="1:9" x14ac:dyDescent="0.3">
      <c r="A655" s="1" t="s">
        <v>684</v>
      </c>
      <c r="B655" s="1" t="s">
        <v>28</v>
      </c>
      <c r="C655" s="2">
        <v>43310</v>
      </c>
      <c r="D655" s="1" t="s">
        <v>29</v>
      </c>
      <c r="E655" s="1">
        <v>17</v>
      </c>
      <c r="F655" s="1">
        <v>16</v>
      </c>
      <c r="G655" s="1">
        <v>272</v>
      </c>
      <c r="H655" s="1">
        <v>0.08</v>
      </c>
      <c r="I655" s="1" t="s">
        <v>33</v>
      </c>
    </row>
    <row r="656" spans="1:9" x14ac:dyDescent="0.3">
      <c r="A656" s="1" t="s">
        <v>685</v>
      </c>
      <c r="B656" s="1" t="s">
        <v>28</v>
      </c>
      <c r="C656" s="2">
        <v>43311</v>
      </c>
      <c r="D656" s="1" t="s">
        <v>10</v>
      </c>
      <c r="E656" s="1">
        <v>6</v>
      </c>
      <c r="F656" s="1">
        <v>80</v>
      </c>
      <c r="G656" s="1">
        <v>480</v>
      </c>
      <c r="H656" s="1">
        <v>0.09</v>
      </c>
      <c r="I656" s="1" t="s">
        <v>35</v>
      </c>
    </row>
    <row r="657" spans="1:9" x14ac:dyDescent="0.3">
      <c r="A657" s="1" t="s">
        <v>686</v>
      </c>
      <c r="B657" s="1" t="s">
        <v>22</v>
      </c>
      <c r="C657" s="2">
        <v>43311</v>
      </c>
      <c r="D657" s="1" t="s">
        <v>32</v>
      </c>
      <c r="E657" s="1">
        <v>22</v>
      </c>
      <c r="F657" s="1">
        <v>150</v>
      </c>
      <c r="G657" s="1">
        <v>3300</v>
      </c>
      <c r="H657" s="1">
        <v>0.04</v>
      </c>
      <c r="I657" s="1" t="s">
        <v>37</v>
      </c>
    </row>
    <row r="658" spans="1:9" x14ac:dyDescent="0.3">
      <c r="A658" s="1" t="s">
        <v>687</v>
      </c>
      <c r="B658" s="1" t="s">
        <v>28</v>
      </c>
      <c r="C658" s="2">
        <v>43311</v>
      </c>
      <c r="D658" s="1" t="s">
        <v>14</v>
      </c>
      <c r="E658" s="1">
        <v>20</v>
      </c>
      <c r="F658" s="1">
        <v>40</v>
      </c>
      <c r="G658" s="1">
        <v>800</v>
      </c>
      <c r="H658" s="1">
        <v>0.03</v>
      </c>
      <c r="I658" s="1" t="s">
        <v>30</v>
      </c>
    </row>
    <row r="659" spans="1:9" x14ac:dyDescent="0.3">
      <c r="A659" s="1" t="s">
        <v>688</v>
      </c>
      <c r="B659" s="1" t="s">
        <v>13</v>
      </c>
      <c r="C659" s="2">
        <v>43311</v>
      </c>
      <c r="D659" s="1" t="s">
        <v>32</v>
      </c>
      <c r="E659" s="1">
        <v>16</v>
      </c>
      <c r="F659" s="1">
        <v>150</v>
      </c>
      <c r="G659" s="1">
        <v>2400</v>
      </c>
      <c r="H659" s="1">
        <v>0.08</v>
      </c>
      <c r="I659" s="1" t="s">
        <v>33</v>
      </c>
    </row>
    <row r="660" spans="1:9" x14ac:dyDescent="0.3">
      <c r="A660" s="1" t="s">
        <v>689</v>
      </c>
      <c r="B660" s="1" t="s">
        <v>13</v>
      </c>
      <c r="C660" s="2">
        <v>43311</v>
      </c>
      <c r="D660" s="1" t="s">
        <v>10</v>
      </c>
      <c r="E660" s="1">
        <v>5</v>
      </c>
      <c r="F660" s="1">
        <v>80</v>
      </c>
      <c r="G660" s="1">
        <v>400</v>
      </c>
      <c r="H660" s="1">
        <v>7.0000000000000007E-2</v>
      </c>
      <c r="I660" s="1" t="s">
        <v>35</v>
      </c>
    </row>
    <row r="661" spans="1:9" x14ac:dyDescent="0.3">
      <c r="A661" s="1" t="s">
        <v>690</v>
      </c>
      <c r="B661" s="1" t="s">
        <v>25</v>
      </c>
      <c r="C661" s="2">
        <v>43311</v>
      </c>
      <c r="D661" s="1" t="s">
        <v>32</v>
      </c>
      <c r="E661" s="1">
        <v>6</v>
      </c>
      <c r="F661" s="1">
        <v>150</v>
      </c>
      <c r="G661" s="1">
        <v>900</v>
      </c>
      <c r="H661" s="1">
        <v>0.03</v>
      </c>
      <c r="I661" s="1" t="s">
        <v>37</v>
      </c>
    </row>
    <row r="662" spans="1:9" x14ac:dyDescent="0.3">
      <c r="A662" s="1" t="s">
        <v>691</v>
      </c>
      <c r="B662" s="1" t="s">
        <v>13</v>
      </c>
      <c r="C662" s="2">
        <v>43312</v>
      </c>
      <c r="D662" s="1" t="s">
        <v>10</v>
      </c>
      <c r="E662" s="1">
        <v>9</v>
      </c>
      <c r="F662" s="1">
        <v>80</v>
      </c>
      <c r="G662" s="1">
        <v>720</v>
      </c>
      <c r="H662" s="1">
        <v>0.03</v>
      </c>
      <c r="I662" s="1" t="s">
        <v>30</v>
      </c>
    </row>
    <row r="663" spans="1:9" x14ac:dyDescent="0.3">
      <c r="A663" s="1" t="s">
        <v>692</v>
      </c>
      <c r="B663" s="1" t="s">
        <v>9</v>
      </c>
      <c r="C663" s="2">
        <v>43312</v>
      </c>
      <c r="D663" s="1" t="s">
        <v>10</v>
      </c>
      <c r="E663" s="1">
        <v>8</v>
      </c>
      <c r="F663" s="1">
        <v>80</v>
      </c>
      <c r="G663" s="1">
        <v>640</v>
      </c>
      <c r="H663" s="1">
        <v>0.08</v>
      </c>
      <c r="I663" s="1" t="s">
        <v>33</v>
      </c>
    </row>
    <row r="664" spans="1:9" x14ac:dyDescent="0.3">
      <c r="A664" s="1" t="s">
        <v>693</v>
      </c>
      <c r="B664" s="1" t="s">
        <v>25</v>
      </c>
      <c r="C664" s="2">
        <v>43312</v>
      </c>
      <c r="D664" s="1" t="s">
        <v>17</v>
      </c>
      <c r="E664" s="1">
        <v>8</v>
      </c>
      <c r="F664" s="1">
        <v>230</v>
      </c>
      <c r="G664" s="1">
        <v>1840</v>
      </c>
      <c r="H664" s="1">
        <v>0.01</v>
      </c>
      <c r="I664" s="1" t="s">
        <v>35</v>
      </c>
    </row>
    <row r="665" spans="1:9" x14ac:dyDescent="0.3">
      <c r="A665" s="1" t="s">
        <v>694</v>
      </c>
      <c r="B665" s="1" t="s">
        <v>28</v>
      </c>
      <c r="C665" s="2">
        <v>43312</v>
      </c>
      <c r="D665" s="1" t="s">
        <v>29</v>
      </c>
      <c r="E665" s="1">
        <v>12</v>
      </c>
      <c r="F665" s="1">
        <v>16</v>
      </c>
      <c r="G665" s="1">
        <v>192</v>
      </c>
      <c r="H665" s="1">
        <v>0.04</v>
      </c>
      <c r="I665" s="1" t="s">
        <v>37</v>
      </c>
    </row>
    <row r="666" spans="1:9" x14ac:dyDescent="0.3">
      <c r="A666" s="1" t="s">
        <v>695</v>
      </c>
      <c r="B666" s="1" t="s">
        <v>25</v>
      </c>
      <c r="C666" s="2">
        <v>43312</v>
      </c>
      <c r="D666" s="1" t="s">
        <v>29</v>
      </c>
      <c r="E666" s="1">
        <v>18</v>
      </c>
      <c r="F666" s="1">
        <v>16</v>
      </c>
      <c r="G666" s="1">
        <v>288</v>
      </c>
      <c r="H666" s="1">
        <v>0.04</v>
      </c>
      <c r="I666" s="1" t="s">
        <v>30</v>
      </c>
    </row>
    <row r="667" spans="1:9" x14ac:dyDescent="0.3">
      <c r="A667" s="1" t="s">
        <v>696</v>
      </c>
      <c r="B667" s="1" t="s">
        <v>25</v>
      </c>
      <c r="C667" s="2">
        <v>43282</v>
      </c>
      <c r="D667" s="1" t="s">
        <v>29</v>
      </c>
      <c r="E667" s="1">
        <v>10</v>
      </c>
      <c r="F667" s="1">
        <v>16</v>
      </c>
      <c r="G667" s="1">
        <v>160</v>
      </c>
      <c r="H667" s="1">
        <v>0.01</v>
      </c>
      <c r="I667" s="1" t="s">
        <v>33</v>
      </c>
    </row>
    <row r="668" spans="1:9" x14ac:dyDescent="0.3">
      <c r="A668" s="1" t="s">
        <v>697</v>
      </c>
      <c r="B668" s="1" t="s">
        <v>25</v>
      </c>
      <c r="C668" s="2">
        <v>43282</v>
      </c>
      <c r="D668" s="1" t="s">
        <v>29</v>
      </c>
      <c r="E668" s="1">
        <v>14</v>
      </c>
      <c r="F668" s="1">
        <v>16</v>
      </c>
      <c r="G668" s="1">
        <v>224</v>
      </c>
      <c r="H668" s="1">
        <v>0.12</v>
      </c>
      <c r="I668" s="1" t="s">
        <v>35</v>
      </c>
    </row>
    <row r="669" spans="1:9" x14ac:dyDescent="0.3">
      <c r="A669" s="1" t="s">
        <v>698</v>
      </c>
      <c r="B669" s="1" t="s">
        <v>22</v>
      </c>
      <c r="C669" s="2">
        <v>43282</v>
      </c>
      <c r="D669" s="1" t="s">
        <v>14</v>
      </c>
      <c r="E669" s="1">
        <v>6</v>
      </c>
      <c r="F669" s="1">
        <v>40</v>
      </c>
      <c r="G669" s="1">
        <v>240</v>
      </c>
      <c r="H669" s="1">
        <v>0.06</v>
      </c>
      <c r="I669" s="1" t="s">
        <v>37</v>
      </c>
    </row>
    <row r="670" spans="1:9" x14ac:dyDescent="0.3">
      <c r="A670" s="1" t="s">
        <v>699</v>
      </c>
      <c r="B670" s="1" t="s">
        <v>25</v>
      </c>
      <c r="C670" s="2">
        <v>43282</v>
      </c>
      <c r="D670" s="1" t="s">
        <v>14</v>
      </c>
      <c r="E670" s="1">
        <v>13</v>
      </c>
      <c r="F670" s="1">
        <v>40</v>
      </c>
      <c r="G670" s="1">
        <v>520</v>
      </c>
      <c r="H670" s="1">
        <v>0.09</v>
      </c>
      <c r="I670" s="1" t="s">
        <v>30</v>
      </c>
    </row>
    <row r="671" spans="1:9" x14ac:dyDescent="0.3">
      <c r="A671" s="1" t="s">
        <v>700</v>
      </c>
      <c r="B671" s="1" t="s">
        <v>25</v>
      </c>
      <c r="C671" s="2">
        <v>43282</v>
      </c>
      <c r="D671" s="1" t="s">
        <v>29</v>
      </c>
      <c r="E671" s="1">
        <v>10</v>
      </c>
      <c r="F671" s="1">
        <v>16</v>
      </c>
      <c r="G671" s="1">
        <v>160</v>
      </c>
      <c r="H671" s="1">
        <v>0.04</v>
      </c>
      <c r="I671" s="1" t="s">
        <v>33</v>
      </c>
    </row>
    <row r="672" spans="1:9" x14ac:dyDescent="0.3">
      <c r="A672" s="1" t="s">
        <v>701</v>
      </c>
      <c r="B672" s="1" t="s">
        <v>13</v>
      </c>
      <c r="C672" s="2">
        <v>43282</v>
      </c>
      <c r="D672" s="1" t="s">
        <v>10</v>
      </c>
      <c r="E672" s="1">
        <v>14</v>
      </c>
      <c r="F672" s="1">
        <v>80</v>
      </c>
      <c r="G672" s="1">
        <v>1120</v>
      </c>
      <c r="H672" s="1">
        <v>0.11</v>
      </c>
      <c r="I672" s="1" t="s">
        <v>35</v>
      </c>
    </row>
    <row r="673" spans="1:9" x14ac:dyDescent="0.3">
      <c r="A673" s="1" t="s">
        <v>702</v>
      </c>
      <c r="B673" s="1" t="s">
        <v>13</v>
      </c>
      <c r="C673" s="2">
        <v>43282</v>
      </c>
      <c r="D673" s="1" t="s">
        <v>14</v>
      </c>
      <c r="E673" s="1">
        <v>4</v>
      </c>
      <c r="F673" s="1">
        <v>40</v>
      </c>
      <c r="G673" s="1">
        <v>160</v>
      </c>
      <c r="H673" s="1">
        <v>0.06</v>
      </c>
      <c r="I673" s="1" t="s">
        <v>37</v>
      </c>
    </row>
    <row r="674" spans="1:9" x14ac:dyDescent="0.3">
      <c r="A674" s="1" t="s">
        <v>703</v>
      </c>
      <c r="B674" s="1" t="s">
        <v>22</v>
      </c>
      <c r="C674" s="2">
        <v>43282</v>
      </c>
      <c r="D674" s="1" t="s">
        <v>14</v>
      </c>
      <c r="E674" s="1">
        <v>11</v>
      </c>
      <c r="F674" s="1">
        <v>40</v>
      </c>
      <c r="G674" s="1">
        <v>440</v>
      </c>
      <c r="H674" s="1">
        <v>0.05</v>
      </c>
      <c r="I674" s="1" t="s">
        <v>30</v>
      </c>
    </row>
    <row r="675" spans="1:9" x14ac:dyDescent="0.3">
      <c r="A675" s="1" t="s">
        <v>704</v>
      </c>
      <c r="B675" s="1" t="s">
        <v>22</v>
      </c>
      <c r="C675" s="2">
        <v>43282</v>
      </c>
      <c r="D675" s="1" t="s">
        <v>29</v>
      </c>
      <c r="E675" s="1">
        <v>14</v>
      </c>
      <c r="F675" s="1">
        <v>16</v>
      </c>
      <c r="G675" s="1">
        <v>224</v>
      </c>
      <c r="H675" s="1">
        <v>0.01</v>
      </c>
      <c r="I675" s="1" t="s">
        <v>33</v>
      </c>
    </row>
    <row r="676" spans="1:9" x14ac:dyDescent="0.3">
      <c r="A676" s="1" t="s">
        <v>705</v>
      </c>
      <c r="B676" s="1" t="s">
        <v>9</v>
      </c>
      <c r="C676" s="2">
        <v>43282</v>
      </c>
      <c r="D676" s="1" t="s">
        <v>32</v>
      </c>
      <c r="E676" s="1">
        <v>20</v>
      </c>
      <c r="F676" s="1">
        <v>150</v>
      </c>
      <c r="G676" s="1">
        <v>3000</v>
      </c>
      <c r="H676" s="1">
        <v>0.04</v>
      </c>
      <c r="I676" s="1" t="s">
        <v>35</v>
      </c>
    </row>
    <row r="677" spans="1:9" x14ac:dyDescent="0.3">
      <c r="A677" s="1" t="s">
        <v>706</v>
      </c>
      <c r="B677" s="1" t="s">
        <v>25</v>
      </c>
      <c r="C677" s="2">
        <v>43282</v>
      </c>
      <c r="D677" s="1" t="s">
        <v>14</v>
      </c>
      <c r="E677" s="1">
        <v>9</v>
      </c>
      <c r="F677" s="1">
        <v>40</v>
      </c>
      <c r="G677" s="1">
        <v>360</v>
      </c>
      <c r="H677" s="1">
        <v>0.06</v>
      </c>
      <c r="I677" s="1" t="s">
        <v>37</v>
      </c>
    </row>
    <row r="678" spans="1:9" x14ac:dyDescent="0.3">
      <c r="A678" s="1" t="s">
        <v>707</v>
      </c>
      <c r="B678" s="1" t="s">
        <v>22</v>
      </c>
      <c r="C678" s="2">
        <v>43282</v>
      </c>
      <c r="D678" s="1" t="s">
        <v>32</v>
      </c>
      <c r="E678" s="1">
        <v>18</v>
      </c>
      <c r="F678" s="1">
        <v>150</v>
      </c>
      <c r="G678" s="1">
        <v>2700</v>
      </c>
      <c r="H678" s="1">
        <v>0.06</v>
      </c>
      <c r="I678" s="1" t="s">
        <v>30</v>
      </c>
    </row>
    <row r="679" spans="1:9" x14ac:dyDescent="0.3">
      <c r="A679" s="1" t="s">
        <v>708</v>
      </c>
      <c r="B679" s="1" t="s">
        <v>28</v>
      </c>
      <c r="C679" s="2">
        <v>43282</v>
      </c>
      <c r="D679" s="1" t="s">
        <v>17</v>
      </c>
      <c r="E679" s="1">
        <v>17</v>
      </c>
      <c r="F679" s="1">
        <v>230</v>
      </c>
      <c r="G679" s="1">
        <v>3910</v>
      </c>
      <c r="H679" s="1">
        <v>0.11</v>
      </c>
      <c r="I679" s="1" t="s">
        <v>33</v>
      </c>
    </row>
    <row r="680" spans="1:9" x14ac:dyDescent="0.3">
      <c r="A680" s="1" t="s">
        <v>709</v>
      </c>
      <c r="B680" s="1" t="s">
        <v>9</v>
      </c>
      <c r="C680" s="2">
        <v>43283</v>
      </c>
      <c r="D680" s="1" t="s">
        <v>14</v>
      </c>
      <c r="E680" s="1">
        <v>20</v>
      </c>
      <c r="F680" s="1">
        <v>40</v>
      </c>
      <c r="G680" s="1">
        <v>800</v>
      </c>
      <c r="H680" s="1">
        <v>0.04</v>
      </c>
      <c r="I680" s="1" t="s">
        <v>35</v>
      </c>
    </row>
    <row r="681" spans="1:9" x14ac:dyDescent="0.3">
      <c r="A681" s="1" t="s">
        <v>710</v>
      </c>
      <c r="B681" s="1" t="s">
        <v>9</v>
      </c>
      <c r="C681" s="2">
        <v>43283</v>
      </c>
      <c r="D681" s="1" t="s">
        <v>14</v>
      </c>
      <c r="E681" s="1">
        <v>23</v>
      </c>
      <c r="F681" s="1">
        <v>40</v>
      </c>
      <c r="G681" s="1">
        <v>920</v>
      </c>
      <c r="H681" s="1">
        <v>0.03</v>
      </c>
      <c r="I681" s="1" t="s">
        <v>37</v>
      </c>
    </row>
    <row r="682" spans="1:9" x14ac:dyDescent="0.3">
      <c r="A682" s="1" t="s">
        <v>711</v>
      </c>
      <c r="B682" s="1" t="s">
        <v>28</v>
      </c>
      <c r="C682" s="2">
        <v>43283</v>
      </c>
      <c r="D682" s="1" t="s">
        <v>17</v>
      </c>
      <c r="E682" s="1">
        <v>21</v>
      </c>
      <c r="F682" s="1">
        <v>230</v>
      </c>
      <c r="G682" s="1">
        <v>4830</v>
      </c>
      <c r="H682" s="1">
        <v>0.05</v>
      </c>
      <c r="I682" s="1" t="s">
        <v>30</v>
      </c>
    </row>
    <row r="683" spans="1:9" x14ac:dyDescent="0.3">
      <c r="A683" s="1" t="s">
        <v>712</v>
      </c>
      <c r="B683" s="1" t="s">
        <v>22</v>
      </c>
      <c r="C683" s="2">
        <v>43283</v>
      </c>
      <c r="D683" s="1" t="s">
        <v>10</v>
      </c>
      <c r="E683" s="1">
        <v>6</v>
      </c>
      <c r="F683" s="1">
        <v>80</v>
      </c>
      <c r="G683" s="1">
        <v>480</v>
      </c>
      <c r="H683" s="1">
        <v>0.09</v>
      </c>
      <c r="I683" s="1" t="s">
        <v>33</v>
      </c>
    </row>
    <row r="684" spans="1:9" x14ac:dyDescent="0.3">
      <c r="A684" s="1" t="s">
        <v>713</v>
      </c>
      <c r="B684" s="1" t="s">
        <v>9</v>
      </c>
      <c r="C684" s="2">
        <v>43283</v>
      </c>
      <c r="D684" s="1" t="s">
        <v>29</v>
      </c>
      <c r="E684" s="1">
        <v>20</v>
      </c>
      <c r="F684" s="1">
        <v>16</v>
      </c>
      <c r="G684" s="1">
        <v>320</v>
      </c>
      <c r="H684" s="1">
        <v>0.01</v>
      </c>
      <c r="I684" s="1" t="s">
        <v>35</v>
      </c>
    </row>
    <row r="685" spans="1:9" x14ac:dyDescent="0.3">
      <c r="A685" s="1" t="s">
        <v>714</v>
      </c>
      <c r="B685" s="1" t="s">
        <v>13</v>
      </c>
      <c r="C685" s="2">
        <v>43283</v>
      </c>
      <c r="D685" s="1" t="s">
        <v>14</v>
      </c>
      <c r="E685" s="1">
        <v>8</v>
      </c>
      <c r="F685" s="1">
        <v>40</v>
      </c>
      <c r="G685" s="1">
        <v>320</v>
      </c>
      <c r="H685" s="1">
        <v>0.09</v>
      </c>
      <c r="I685" s="1" t="s">
        <v>37</v>
      </c>
    </row>
    <row r="686" spans="1:9" x14ac:dyDescent="0.3">
      <c r="A686" s="1" t="s">
        <v>715</v>
      </c>
      <c r="B686" s="1" t="s">
        <v>13</v>
      </c>
      <c r="C686" s="2">
        <v>43283</v>
      </c>
      <c r="D686" s="1" t="s">
        <v>17</v>
      </c>
      <c r="E686" s="1">
        <v>15</v>
      </c>
      <c r="F686" s="1">
        <v>230</v>
      </c>
      <c r="G686" s="1">
        <v>3450</v>
      </c>
      <c r="H686" s="1">
        <v>0.09</v>
      </c>
      <c r="I686" s="1" t="s">
        <v>30</v>
      </c>
    </row>
    <row r="687" spans="1:9" x14ac:dyDescent="0.3">
      <c r="A687" s="1" t="s">
        <v>716</v>
      </c>
      <c r="B687" s="1" t="s">
        <v>25</v>
      </c>
      <c r="C687" s="2">
        <v>43284</v>
      </c>
      <c r="D687" s="1" t="s">
        <v>10</v>
      </c>
      <c r="E687" s="1">
        <v>21</v>
      </c>
      <c r="F687" s="1">
        <v>80</v>
      </c>
      <c r="G687" s="1">
        <v>1680</v>
      </c>
      <c r="H687" s="1">
        <v>0.02</v>
      </c>
      <c r="I687" s="1" t="s">
        <v>33</v>
      </c>
    </row>
    <row r="688" spans="1:9" x14ac:dyDescent="0.3">
      <c r="A688" s="1" t="s">
        <v>717</v>
      </c>
      <c r="B688" s="1" t="s">
        <v>25</v>
      </c>
      <c r="C688" s="2">
        <v>43284</v>
      </c>
      <c r="D688" s="1" t="s">
        <v>10</v>
      </c>
      <c r="E688" s="1">
        <v>19</v>
      </c>
      <c r="F688" s="1">
        <v>80</v>
      </c>
      <c r="G688" s="1">
        <v>1520</v>
      </c>
      <c r="H688" s="1">
        <v>0.02</v>
      </c>
      <c r="I688" s="1" t="s">
        <v>35</v>
      </c>
    </row>
    <row r="689" spans="1:9" x14ac:dyDescent="0.3">
      <c r="A689" s="1" t="s">
        <v>718</v>
      </c>
      <c r="B689" s="1" t="s">
        <v>9</v>
      </c>
      <c r="C689" s="2">
        <v>43284</v>
      </c>
      <c r="D689" s="1" t="s">
        <v>29</v>
      </c>
      <c r="E689" s="1">
        <v>7</v>
      </c>
      <c r="F689" s="1">
        <v>16</v>
      </c>
      <c r="G689" s="1">
        <v>112</v>
      </c>
      <c r="H689" s="1">
        <v>0.08</v>
      </c>
      <c r="I689" s="1" t="s">
        <v>37</v>
      </c>
    </row>
    <row r="690" spans="1:9" x14ac:dyDescent="0.3">
      <c r="A690" s="1" t="s">
        <v>719</v>
      </c>
      <c r="B690" s="1" t="s">
        <v>28</v>
      </c>
      <c r="C690" s="2">
        <v>43284</v>
      </c>
      <c r="D690" s="1" t="s">
        <v>14</v>
      </c>
      <c r="E690" s="1">
        <v>11</v>
      </c>
      <c r="F690" s="1">
        <v>40</v>
      </c>
      <c r="G690" s="1">
        <v>440</v>
      </c>
      <c r="H690" s="1">
        <v>0.05</v>
      </c>
      <c r="I690" s="1" t="s">
        <v>30</v>
      </c>
    </row>
    <row r="691" spans="1:9" x14ac:dyDescent="0.3">
      <c r="A691" s="1" t="s">
        <v>720</v>
      </c>
      <c r="B691" s="1" t="s">
        <v>25</v>
      </c>
      <c r="C691" s="2">
        <v>43284</v>
      </c>
      <c r="D691" s="1" t="s">
        <v>17</v>
      </c>
      <c r="E691" s="1">
        <v>8</v>
      </c>
      <c r="F691" s="1">
        <v>230</v>
      </c>
      <c r="G691" s="1">
        <v>1840</v>
      </c>
      <c r="H691" s="1">
        <v>0.05</v>
      </c>
      <c r="I691" s="1" t="s">
        <v>33</v>
      </c>
    </row>
    <row r="692" spans="1:9" x14ac:dyDescent="0.3">
      <c r="A692" s="1" t="s">
        <v>721</v>
      </c>
      <c r="B692" s="1" t="s">
        <v>9</v>
      </c>
      <c r="C692" s="2">
        <v>43284</v>
      </c>
      <c r="D692" s="1" t="s">
        <v>10</v>
      </c>
      <c r="E692" s="1">
        <v>18</v>
      </c>
      <c r="F692" s="1">
        <v>80</v>
      </c>
      <c r="G692" s="1">
        <v>1440</v>
      </c>
      <c r="H692" s="1">
        <v>0.02</v>
      </c>
      <c r="I692" s="1" t="s">
        <v>35</v>
      </c>
    </row>
    <row r="693" spans="1:9" x14ac:dyDescent="0.3">
      <c r="A693" s="1" t="s">
        <v>722</v>
      </c>
      <c r="B693" s="1" t="s">
        <v>9</v>
      </c>
      <c r="C693" s="2">
        <v>43284</v>
      </c>
      <c r="D693" s="1" t="s">
        <v>14</v>
      </c>
      <c r="E693" s="1">
        <v>7</v>
      </c>
      <c r="F693" s="1">
        <v>40</v>
      </c>
      <c r="G693" s="1">
        <v>280</v>
      </c>
      <c r="H693" s="1">
        <v>0.1</v>
      </c>
      <c r="I693" s="1" t="s">
        <v>37</v>
      </c>
    </row>
    <row r="694" spans="1:9" x14ac:dyDescent="0.3">
      <c r="A694" s="1" t="s">
        <v>723</v>
      </c>
      <c r="B694" s="1" t="s">
        <v>9</v>
      </c>
      <c r="C694" s="2">
        <v>43285</v>
      </c>
      <c r="D694" s="1" t="s">
        <v>29</v>
      </c>
      <c r="E694" s="1">
        <v>16</v>
      </c>
      <c r="F694" s="1">
        <v>16</v>
      </c>
      <c r="G694" s="1">
        <v>256</v>
      </c>
      <c r="H694" s="1">
        <v>0.03</v>
      </c>
      <c r="I694" s="1" t="s">
        <v>30</v>
      </c>
    </row>
    <row r="695" spans="1:9" x14ac:dyDescent="0.3">
      <c r="A695" s="1" t="s">
        <v>724</v>
      </c>
      <c r="B695" s="1" t="s">
        <v>9</v>
      </c>
      <c r="C695" s="2">
        <v>43285</v>
      </c>
      <c r="D695" s="1" t="s">
        <v>10</v>
      </c>
      <c r="E695" s="1">
        <v>8</v>
      </c>
      <c r="F695" s="1">
        <v>80</v>
      </c>
      <c r="G695" s="1">
        <v>640</v>
      </c>
      <c r="H695" s="1">
        <v>0.08</v>
      </c>
      <c r="I695" s="1" t="s">
        <v>33</v>
      </c>
    </row>
    <row r="696" spans="1:9" x14ac:dyDescent="0.3">
      <c r="A696" s="1" t="s">
        <v>725</v>
      </c>
      <c r="B696" s="1" t="s">
        <v>28</v>
      </c>
      <c r="C696" s="2">
        <v>43285</v>
      </c>
      <c r="D696" s="1" t="s">
        <v>17</v>
      </c>
      <c r="E696" s="1">
        <v>22</v>
      </c>
      <c r="F696" s="1">
        <v>230</v>
      </c>
      <c r="G696" s="1">
        <v>5060</v>
      </c>
      <c r="H696" s="1">
        <v>0.1</v>
      </c>
      <c r="I696" s="1" t="s">
        <v>35</v>
      </c>
    </row>
    <row r="697" spans="1:9" x14ac:dyDescent="0.3">
      <c r="A697" s="1" t="s">
        <v>726</v>
      </c>
      <c r="B697" s="1" t="s">
        <v>28</v>
      </c>
      <c r="C697" s="2">
        <v>43285</v>
      </c>
      <c r="D697" s="1" t="s">
        <v>17</v>
      </c>
      <c r="E697" s="1">
        <v>3</v>
      </c>
      <c r="F697" s="1">
        <v>230</v>
      </c>
      <c r="G697" s="1">
        <v>690</v>
      </c>
      <c r="H697" s="1">
        <v>0.1</v>
      </c>
      <c r="I697" s="1" t="s">
        <v>37</v>
      </c>
    </row>
    <row r="698" spans="1:9" x14ac:dyDescent="0.3">
      <c r="A698" s="1" t="s">
        <v>727</v>
      </c>
      <c r="B698" s="1" t="s">
        <v>28</v>
      </c>
      <c r="C698" s="2">
        <v>43285</v>
      </c>
      <c r="D698" s="1" t="s">
        <v>17</v>
      </c>
      <c r="E698" s="1">
        <v>20</v>
      </c>
      <c r="F698" s="1">
        <v>230</v>
      </c>
      <c r="G698" s="1">
        <v>4600</v>
      </c>
      <c r="H698" s="1">
        <v>0.11</v>
      </c>
      <c r="I698" s="1" t="s">
        <v>30</v>
      </c>
    </row>
    <row r="699" spans="1:9" x14ac:dyDescent="0.3">
      <c r="A699" s="1" t="s">
        <v>728</v>
      </c>
      <c r="B699" s="1" t="s">
        <v>22</v>
      </c>
      <c r="C699" s="2">
        <v>43285</v>
      </c>
      <c r="D699" s="1" t="s">
        <v>29</v>
      </c>
      <c r="E699" s="1">
        <v>12</v>
      </c>
      <c r="F699" s="1">
        <v>16</v>
      </c>
      <c r="G699" s="1">
        <v>192</v>
      </c>
      <c r="H699" s="1">
        <v>0.03</v>
      </c>
      <c r="I699" s="1" t="s">
        <v>33</v>
      </c>
    </row>
    <row r="700" spans="1:9" x14ac:dyDescent="0.3">
      <c r="A700" s="1" t="s">
        <v>729</v>
      </c>
      <c r="B700" s="1" t="s">
        <v>28</v>
      </c>
      <c r="C700" s="2">
        <v>43285</v>
      </c>
      <c r="D700" s="1" t="s">
        <v>14</v>
      </c>
      <c r="E700" s="1">
        <v>20</v>
      </c>
      <c r="F700" s="1">
        <v>40</v>
      </c>
      <c r="G700" s="1">
        <v>800</v>
      </c>
      <c r="H700" s="1">
        <v>7.0000000000000007E-2</v>
      </c>
      <c r="I700" s="1" t="s">
        <v>35</v>
      </c>
    </row>
    <row r="701" spans="1:9" x14ac:dyDescent="0.3">
      <c r="A701" s="1" t="s">
        <v>730</v>
      </c>
      <c r="B701" s="1" t="s">
        <v>9</v>
      </c>
      <c r="C701" s="2">
        <v>43285</v>
      </c>
      <c r="D701" s="1" t="s">
        <v>17</v>
      </c>
      <c r="E701" s="1">
        <v>3</v>
      </c>
      <c r="F701" s="1">
        <v>230</v>
      </c>
      <c r="G701" s="1">
        <v>690</v>
      </c>
      <c r="H701" s="1">
        <v>0.06</v>
      </c>
      <c r="I701" s="1" t="s">
        <v>37</v>
      </c>
    </row>
    <row r="702" spans="1:9" x14ac:dyDescent="0.3">
      <c r="A702" s="1" t="s">
        <v>731</v>
      </c>
      <c r="B702" s="1" t="s">
        <v>25</v>
      </c>
      <c r="C702" s="2">
        <v>43285</v>
      </c>
      <c r="D702" s="1" t="s">
        <v>10</v>
      </c>
      <c r="E702" s="1">
        <v>16</v>
      </c>
      <c r="F702" s="1">
        <v>80</v>
      </c>
      <c r="G702" s="1">
        <v>1280</v>
      </c>
      <c r="H702" s="1">
        <v>7.0000000000000007E-2</v>
      </c>
      <c r="I702" s="1" t="s">
        <v>30</v>
      </c>
    </row>
    <row r="703" spans="1:9" x14ac:dyDescent="0.3">
      <c r="A703" s="1" t="s">
        <v>732</v>
      </c>
      <c r="B703" s="1" t="s">
        <v>28</v>
      </c>
      <c r="C703" s="2">
        <v>43286</v>
      </c>
      <c r="D703" s="1" t="s">
        <v>14</v>
      </c>
      <c r="E703" s="1">
        <v>3</v>
      </c>
      <c r="F703" s="1">
        <v>40</v>
      </c>
      <c r="G703" s="1">
        <v>120</v>
      </c>
      <c r="H703" s="1">
        <v>0.03</v>
      </c>
      <c r="I703" s="1" t="s">
        <v>33</v>
      </c>
    </row>
    <row r="704" spans="1:9" x14ac:dyDescent="0.3">
      <c r="A704" s="1" t="s">
        <v>733</v>
      </c>
      <c r="B704" s="1" t="s">
        <v>22</v>
      </c>
      <c r="C704" s="2">
        <v>43286</v>
      </c>
      <c r="D704" s="1" t="s">
        <v>17</v>
      </c>
      <c r="E704" s="1">
        <v>12</v>
      </c>
      <c r="F704" s="1">
        <v>230</v>
      </c>
      <c r="G704" s="1">
        <v>2760</v>
      </c>
      <c r="H704" s="1">
        <v>0.03</v>
      </c>
      <c r="I704" s="1" t="s">
        <v>35</v>
      </c>
    </row>
    <row r="705" spans="1:9" x14ac:dyDescent="0.3">
      <c r="A705" s="1" t="s">
        <v>734</v>
      </c>
      <c r="B705" s="1" t="s">
        <v>25</v>
      </c>
      <c r="C705" s="2">
        <v>43286</v>
      </c>
      <c r="D705" s="1" t="s">
        <v>14</v>
      </c>
      <c r="E705" s="1">
        <v>22</v>
      </c>
      <c r="F705" s="1">
        <v>40</v>
      </c>
      <c r="G705" s="1">
        <v>880</v>
      </c>
      <c r="H705" s="1">
        <v>0.01</v>
      </c>
      <c r="I705" s="1" t="s">
        <v>37</v>
      </c>
    </row>
    <row r="706" spans="1:9" x14ac:dyDescent="0.3">
      <c r="A706" s="1" t="s">
        <v>735</v>
      </c>
      <c r="B706" s="1" t="s">
        <v>13</v>
      </c>
      <c r="C706" s="2">
        <v>43286</v>
      </c>
      <c r="D706" s="1" t="s">
        <v>14</v>
      </c>
      <c r="E706" s="1">
        <v>19</v>
      </c>
      <c r="F706" s="1">
        <v>40</v>
      </c>
      <c r="G706" s="1">
        <v>760</v>
      </c>
      <c r="H706" s="1">
        <v>0.1</v>
      </c>
      <c r="I706" s="1" t="s">
        <v>30</v>
      </c>
    </row>
    <row r="707" spans="1:9" x14ac:dyDescent="0.3">
      <c r="A707" s="1" t="s">
        <v>736</v>
      </c>
      <c r="B707" s="1" t="s">
        <v>13</v>
      </c>
      <c r="C707" s="2">
        <v>43286</v>
      </c>
      <c r="D707" s="1" t="s">
        <v>10</v>
      </c>
      <c r="E707" s="1">
        <v>21</v>
      </c>
      <c r="F707" s="1">
        <v>80</v>
      </c>
      <c r="G707" s="1">
        <v>1680</v>
      </c>
      <c r="H707" s="1">
        <v>0.04</v>
      </c>
      <c r="I707" s="1" t="s">
        <v>33</v>
      </c>
    </row>
    <row r="708" spans="1:9" x14ac:dyDescent="0.3">
      <c r="A708" s="1" t="s">
        <v>737</v>
      </c>
      <c r="B708" s="1" t="s">
        <v>13</v>
      </c>
      <c r="C708" s="2">
        <v>43286</v>
      </c>
      <c r="D708" s="1" t="s">
        <v>10</v>
      </c>
      <c r="E708" s="1">
        <v>2</v>
      </c>
      <c r="F708" s="1">
        <v>80</v>
      </c>
      <c r="G708" s="1">
        <v>160</v>
      </c>
      <c r="H708" s="1">
        <v>0.04</v>
      </c>
      <c r="I708" s="1" t="s">
        <v>35</v>
      </c>
    </row>
    <row r="709" spans="1:9" x14ac:dyDescent="0.3">
      <c r="A709" s="1" t="s">
        <v>738</v>
      </c>
      <c r="B709" s="1" t="s">
        <v>13</v>
      </c>
      <c r="C709" s="2">
        <v>43286</v>
      </c>
      <c r="D709" s="1" t="s">
        <v>32</v>
      </c>
      <c r="E709" s="1">
        <v>15</v>
      </c>
      <c r="F709" s="1">
        <v>150</v>
      </c>
      <c r="G709" s="1">
        <v>2250</v>
      </c>
      <c r="H709" s="1">
        <v>0.02</v>
      </c>
      <c r="I709" s="1" t="s">
        <v>37</v>
      </c>
    </row>
    <row r="710" spans="1:9" x14ac:dyDescent="0.3">
      <c r="A710" s="1" t="s">
        <v>739</v>
      </c>
      <c r="B710" s="1" t="s">
        <v>13</v>
      </c>
      <c r="C710" s="2">
        <v>43287</v>
      </c>
      <c r="D710" s="1" t="s">
        <v>14</v>
      </c>
      <c r="E710" s="1">
        <v>14</v>
      </c>
      <c r="F710" s="1">
        <v>40</v>
      </c>
      <c r="G710" s="1">
        <v>560</v>
      </c>
      <c r="H710" s="1">
        <v>0.06</v>
      </c>
      <c r="I710" s="1" t="s">
        <v>30</v>
      </c>
    </row>
    <row r="711" spans="1:9" x14ac:dyDescent="0.3">
      <c r="A711" s="1" t="s">
        <v>740</v>
      </c>
      <c r="B711" s="1" t="s">
        <v>25</v>
      </c>
      <c r="C711" s="2">
        <v>43287</v>
      </c>
      <c r="D711" s="1" t="s">
        <v>10</v>
      </c>
      <c r="E711" s="1">
        <v>7</v>
      </c>
      <c r="F711" s="1">
        <v>80</v>
      </c>
      <c r="G711" s="1">
        <v>560</v>
      </c>
      <c r="H711" s="1">
        <v>7.0000000000000007E-2</v>
      </c>
      <c r="I711" s="1" t="s">
        <v>33</v>
      </c>
    </row>
    <row r="712" spans="1:9" x14ac:dyDescent="0.3">
      <c r="A712" s="1" t="s">
        <v>741</v>
      </c>
      <c r="B712" s="1" t="s">
        <v>22</v>
      </c>
      <c r="C712" s="2">
        <v>43287</v>
      </c>
      <c r="D712" s="1" t="s">
        <v>10</v>
      </c>
      <c r="E712" s="1">
        <v>7</v>
      </c>
      <c r="F712" s="1">
        <v>80</v>
      </c>
      <c r="G712" s="1">
        <v>560</v>
      </c>
      <c r="H712" s="1">
        <v>0.05</v>
      </c>
      <c r="I712" s="1" t="s">
        <v>35</v>
      </c>
    </row>
    <row r="713" spans="1:9" x14ac:dyDescent="0.3">
      <c r="A713" s="1" t="s">
        <v>742</v>
      </c>
      <c r="B713" s="1" t="s">
        <v>13</v>
      </c>
      <c r="C713" s="2">
        <v>43287</v>
      </c>
      <c r="D713" s="1" t="s">
        <v>32</v>
      </c>
      <c r="E713" s="1">
        <v>10</v>
      </c>
      <c r="F713" s="1">
        <v>150</v>
      </c>
      <c r="G713" s="1">
        <v>1500</v>
      </c>
      <c r="H713" s="1">
        <v>0.01</v>
      </c>
      <c r="I713" s="1" t="s">
        <v>37</v>
      </c>
    </row>
    <row r="714" spans="1:9" x14ac:dyDescent="0.3">
      <c r="A714" s="1" t="s">
        <v>743</v>
      </c>
      <c r="B714" s="1" t="s">
        <v>22</v>
      </c>
      <c r="C714" s="2">
        <v>43287</v>
      </c>
      <c r="D714" s="1" t="s">
        <v>10</v>
      </c>
      <c r="E714" s="1">
        <v>10</v>
      </c>
      <c r="F714" s="1">
        <v>80</v>
      </c>
      <c r="G714" s="1">
        <v>800</v>
      </c>
      <c r="H714" s="1">
        <v>0.08</v>
      </c>
      <c r="I714" s="1" t="s">
        <v>30</v>
      </c>
    </row>
    <row r="715" spans="1:9" x14ac:dyDescent="0.3">
      <c r="A715" s="1" t="s">
        <v>744</v>
      </c>
      <c r="B715" s="1" t="s">
        <v>25</v>
      </c>
      <c r="C715" s="2">
        <v>43287</v>
      </c>
      <c r="D715" s="1" t="s">
        <v>10</v>
      </c>
      <c r="E715" s="1">
        <v>15</v>
      </c>
      <c r="F715" s="1">
        <v>80</v>
      </c>
      <c r="G715" s="1">
        <v>1200</v>
      </c>
      <c r="H715" s="1">
        <v>0.08</v>
      </c>
      <c r="I715" s="1" t="s">
        <v>33</v>
      </c>
    </row>
    <row r="716" spans="1:9" x14ac:dyDescent="0.3">
      <c r="A716" s="1" t="s">
        <v>745</v>
      </c>
      <c r="B716" s="1" t="s">
        <v>25</v>
      </c>
      <c r="C716" s="2">
        <v>43287</v>
      </c>
      <c r="D716" s="1" t="s">
        <v>17</v>
      </c>
      <c r="E716" s="1">
        <v>18</v>
      </c>
      <c r="F716" s="1">
        <v>230</v>
      </c>
      <c r="G716" s="1">
        <v>4140</v>
      </c>
      <c r="H716" s="1">
        <v>0.01</v>
      </c>
      <c r="I716" s="1" t="s">
        <v>35</v>
      </c>
    </row>
    <row r="717" spans="1:9" x14ac:dyDescent="0.3">
      <c r="A717" s="1" t="s">
        <v>746</v>
      </c>
      <c r="B717" s="1" t="s">
        <v>9</v>
      </c>
      <c r="C717" s="2">
        <v>43287</v>
      </c>
      <c r="D717" s="1" t="s">
        <v>10</v>
      </c>
      <c r="E717" s="1">
        <v>8</v>
      </c>
      <c r="F717" s="1">
        <v>80</v>
      </c>
      <c r="G717" s="1">
        <v>640</v>
      </c>
      <c r="H717" s="1">
        <v>0.09</v>
      </c>
      <c r="I717" s="1" t="s">
        <v>37</v>
      </c>
    </row>
    <row r="718" spans="1:9" x14ac:dyDescent="0.3">
      <c r="A718" s="1" t="s">
        <v>747</v>
      </c>
      <c r="B718" s="1" t="s">
        <v>22</v>
      </c>
      <c r="C718" s="2">
        <v>43287</v>
      </c>
      <c r="D718" s="1" t="s">
        <v>29</v>
      </c>
      <c r="E718" s="1">
        <v>6</v>
      </c>
      <c r="F718" s="1">
        <v>16</v>
      </c>
      <c r="G718" s="1">
        <v>96</v>
      </c>
      <c r="H718" s="1">
        <v>0.01</v>
      </c>
      <c r="I718" s="1" t="s">
        <v>30</v>
      </c>
    </row>
    <row r="719" spans="1:9" x14ac:dyDescent="0.3">
      <c r="A719" s="1" t="s">
        <v>748</v>
      </c>
      <c r="B719" s="1" t="s">
        <v>13</v>
      </c>
      <c r="C719" s="2">
        <v>43287</v>
      </c>
      <c r="D719" s="1" t="s">
        <v>17</v>
      </c>
      <c r="E719" s="1">
        <v>9</v>
      </c>
      <c r="F719" s="1">
        <v>230</v>
      </c>
      <c r="G719" s="1">
        <v>2070</v>
      </c>
      <c r="H719" s="1">
        <v>0.03</v>
      </c>
      <c r="I719" s="1" t="s">
        <v>33</v>
      </c>
    </row>
    <row r="720" spans="1:9" x14ac:dyDescent="0.3">
      <c r="A720" s="1" t="s">
        <v>749</v>
      </c>
      <c r="B720" s="1" t="s">
        <v>25</v>
      </c>
      <c r="C720" s="2">
        <v>43288</v>
      </c>
      <c r="D720" s="1" t="s">
        <v>14</v>
      </c>
      <c r="E720" s="1">
        <v>15</v>
      </c>
      <c r="F720" s="1">
        <v>40</v>
      </c>
      <c r="G720" s="1">
        <v>600</v>
      </c>
      <c r="H720" s="1">
        <v>0.03</v>
      </c>
      <c r="I720" s="1" t="s">
        <v>35</v>
      </c>
    </row>
    <row r="721" spans="1:9" x14ac:dyDescent="0.3">
      <c r="A721" s="1" t="s">
        <v>750</v>
      </c>
      <c r="B721" s="1" t="s">
        <v>13</v>
      </c>
      <c r="C721" s="2">
        <v>43288</v>
      </c>
      <c r="D721" s="1" t="s">
        <v>14</v>
      </c>
      <c r="E721" s="1">
        <v>15</v>
      </c>
      <c r="F721" s="1">
        <v>40</v>
      </c>
      <c r="G721" s="1">
        <v>600</v>
      </c>
      <c r="H721" s="1">
        <v>0.04</v>
      </c>
      <c r="I721" s="1" t="s">
        <v>37</v>
      </c>
    </row>
    <row r="722" spans="1:9" x14ac:dyDescent="0.3">
      <c r="A722" s="1" t="s">
        <v>751</v>
      </c>
      <c r="B722" s="1" t="s">
        <v>28</v>
      </c>
      <c r="C722" s="2">
        <v>43288</v>
      </c>
      <c r="D722" s="1" t="s">
        <v>29</v>
      </c>
      <c r="E722" s="1">
        <v>11</v>
      </c>
      <c r="F722" s="1">
        <v>16</v>
      </c>
      <c r="G722" s="1">
        <v>176</v>
      </c>
      <c r="H722" s="1">
        <v>0.12</v>
      </c>
      <c r="I722" s="1" t="s">
        <v>30</v>
      </c>
    </row>
    <row r="723" spans="1:9" x14ac:dyDescent="0.3">
      <c r="A723" s="1" t="s">
        <v>752</v>
      </c>
      <c r="B723" s="1" t="s">
        <v>9</v>
      </c>
      <c r="C723" s="2">
        <v>43288</v>
      </c>
      <c r="D723" s="1" t="s">
        <v>29</v>
      </c>
      <c r="E723" s="1">
        <v>12</v>
      </c>
      <c r="F723" s="1">
        <v>16</v>
      </c>
      <c r="G723" s="1">
        <v>192</v>
      </c>
      <c r="H723" s="1">
        <v>0.11</v>
      </c>
      <c r="I723" s="1" t="s">
        <v>18</v>
      </c>
    </row>
    <row r="724" spans="1:9" x14ac:dyDescent="0.3">
      <c r="A724" s="1" t="s">
        <v>753</v>
      </c>
      <c r="B724" s="1" t="s">
        <v>25</v>
      </c>
      <c r="C724" s="2">
        <v>43288</v>
      </c>
      <c r="D724" s="1" t="s">
        <v>29</v>
      </c>
      <c r="E724" s="1">
        <v>18</v>
      </c>
      <c r="F724" s="1">
        <v>16</v>
      </c>
      <c r="G724" s="1">
        <v>288</v>
      </c>
      <c r="H724" s="1">
        <v>0.04</v>
      </c>
      <c r="I724" s="1" t="s">
        <v>35</v>
      </c>
    </row>
    <row r="725" spans="1:9" x14ac:dyDescent="0.3">
      <c r="A725" s="1" t="s">
        <v>754</v>
      </c>
      <c r="B725" s="1" t="s">
        <v>22</v>
      </c>
      <c r="C725" s="2">
        <v>43288</v>
      </c>
      <c r="D725" s="1" t="s">
        <v>14</v>
      </c>
      <c r="E725" s="1">
        <v>20</v>
      </c>
      <c r="F725" s="1">
        <v>40</v>
      </c>
      <c r="G725" s="1">
        <v>800</v>
      </c>
      <c r="H725" s="1">
        <v>0.01</v>
      </c>
      <c r="I725" s="1" t="s">
        <v>18</v>
      </c>
    </row>
    <row r="726" spans="1:9" x14ac:dyDescent="0.3">
      <c r="A726" s="1" t="s">
        <v>755</v>
      </c>
      <c r="B726" s="1" t="s">
        <v>28</v>
      </c>
      <c r="C726" s="2">
        <v>43288</v>
      </c>
      <c r="D726" s="1" t="s">
        <v>32</v>
      </c>
      <c r="E726" s="1">
        <v>7</v>
      </c>
      <c r="F726" s="1">
        <v>150</v>
      </c>
      <c r="G726" s="1">
        <v>1050</v>
      </c>
      <c r="H726" s="1">
        <v>0.03</v>
      </c>
      <c r="I726" s="1" t="s">
        <v>35</v>
      </c>
    </row>
    <row r="727" spans="1:9" x14ac:dyDescent="0.3">
      <c r="A727" s="1" t="s">
        <v>756</v>
      </c>
      <c r="B727" s="1" t="s">
        <v>25</v>
      </c>
      <c r="C727" s="2">
        <v>43288</v>
      </c>
      <c r="D727" s="1" t="s">
        <v>14</v>
      </c>
      <c r="E727" s="1">
        <v>23</v>
      </c>
      <c r="F727" s="1">
        <v>40</v>
      </c>
      <c r="G727" s="1">
        <v>920</v>
      </c>
      <c r="H727" s="1">
        <v>0.06</v>
      </c>
      <c r="I727" s="1" t="s">
        <v>18</v>
      </c>
    </row>
    <row r="728" spans="1:9" x14ac:dyDescent="0.3">
      <c r="A728" s="1" t="s">
        <v>757</v>
      </c>
      <c r="B728" s="1" t="s">
        <v>9</v>
      </c>
      <c r="C728" s="2">
        <v>43288</v>
      </c>
      <c r="D728" s="1" t="s">
        <v>10</v>
      </c>
      <c r="E728" s="1">
        <v>7</v>
      </c>
      <c r="F728" s="1">
        <v>80</v>
      </c>
      <c r="G728" s="1">
        <v>560</v>
      </c>
      <c r="H728" s="1">
        <v>0.02</v>
      </c>
      <c r="I728" s="1" t="s">
        <v>35</v>
      </c>
    </row>
    <row r="729" spans="1:9" x14ac:dyDescent="0.3">
      <c r="A729" s="1" t="s">
        <v>758</v>
      </c>
      <c r="B729" s="1" t="s">
        <v>13</v>
      </c>
      <c r="C729" s="2">
        <v>43288</v>
      </c>
      <c r="D729" s="1" t="s">
        <v>32</v>
      </c>
      <c r="E729" s="1">
        <v>16</v>
      </c>
      <c r="F729" s="1">
        <v>150</v>
      </c>
      <c r="G729" s="1">
        <v>2400</v>
      </c>
      <c r="H729" s="1">
        <v>0.05</v>
      </c>
      <c r="I729" s="1" t="s">
        <v>18</v>
      </c>
    </row>
    <row r="730" spans="1:9" x14ac:dyDescent="0.3">
      <c r="A730" s="1" t="s">
        <v>759</v>
      </c>
      <c r="B730" s="1" t="s">
        <v>13</v>
      </c>
      <c r="C730" s="2">
        <v>43288</v>
      </c>
      <c r="D730" s="1" t="s">
        <v>17</v>
      </c>
      <c r="E730" s="1">
        <v>6</v>
      </c>
      <c r="F730" s="1">
        <v>230</v>
      </c>
      <c r="G730" s="1">
        <v>1380</v>
      </c>
      <c r="H730" s="1">
        <v>0.1</v>
      </c>
      <c r="I730" s="1" t="s">
        <v>35</v>
      </c>
    </row>
    <row r="731" spans="1:9" x14ac:dyDescent="0.3">
      <c r="A731" s="1" t="s">
        <v>760</v>
      </c>
      <c r="B731" s="1" t="s">
        <v>28</v>
      </c>
      <c r="C731" s="2">
        <v>43289</v>
      </c>
      <c r="D731" s="1" t="s">
        <v>14</v>
      </c>
      <c r="E731" s="1">
        <v>7</v>
      </c>
      <c r="F731" s="1">
        <v>40</v>
      </c>
      <c r="G731" s="1">
        <v>280</v>
      </c>
      <c r="H731" s="1">
        <v>0.12</v>
      </c>
      <c r="I731" s="1" t="s">
        <v>18</v>
      </c>
    </row>
    <row r="732" spans="1:9" x14ac:dyDescent="0.3">
      <c r="A732" s="1" t="s">
        <v>761</v>
      </c>
      <c r="B732" s="1" t="s">
        <v>22</v>
      </c>
      <c r="C732" s="2">
        <v>43289</v>
      </c>
      <c r="D732" s="1" t="s">
        <v>10</v>
      </c>
      <c r="E732" s="1">
        <v>23</v>
      </c>
      <c r="F732" s="1">
        <v>80</v>
      </c>
      <c r="G732" s="1">
        <v>1840</v>
      </c>
      <c r="H732" s="1">
        <v>0.05</v>
      </c>
      <c r="I732" s="1" t="s">
        <v>35</v>
      </c>
    </row>
    <row r="733" spans="1:9" x14ac:dyDescent="0.3">
      <c r="A733" s="1" t="s">
        <v>762</v>
      </c>
      <c r="B733" s="1" t="s">
        <v>25</v>
      </c>
      <c r="C733" s="2">
        <v>43289</v>
      </c>
      <c r="D733" s="1" t="s">
        <v>10</v>
      </c>
      <c r="E733" s="1">
        <v>16</v>
      </c>
      <c r="F733" s="1">
        <v>80</v>
      </c>
      <c r="G733" s="1">
        <v>1280</v>
      </c>
      <c r="H733" s="1">
        <v>0.1</v>
      </c>
      <c r="I733" s="1" t="s">
        <v>18</v>
      </c>
    </row>
    <row r="734" spans="1:9" x14ac:dyDescent="0.3">
      <c r="A734" s="1" t="s">
        <v>763</v>
      </c>
      <c r="B734" s="1" t="s">
        <v>9</v>
      </c>
      <c r="C734" s="2">
        <v>43289</v>
      </c>
      <c r="D734" s="1" t="s">
        <v>10</v>
      </c>
      <c r="E734" s="1">
        <v>16</v>
      </c>
      <c r="F734" s="1">
        <v>80</v>
      </c>
      <c r="G734" s="1">
        <v>1280</v>
      </c>
      <c r="H734" s="1">
        <v>0.03</v>
      </c>
      <c r="I734" s="1" t="s">
        <v>35</v>
      </c>
    </row>
    <row r="735" spans="1:9" x14ac:dyDescent="0.3">
      <c r="A735" s="1" t="s">
        <v>764</v>
      </c>
      <c r="B735" s="1" t="s">
        <v>28</v>
      </c>
      <c r="C735" s="2">
        <v>43289</v>
      </c>
      <c r="D735" s="1" t="s">
        <v>10</v>
      </c>
      <c r="E735" s="1">
        <v>22</v>
      </c>
      <c r="F735" s="1">
        <v>80</v>
      </c>
      <c r="G735" s="1">
        <v>1760</v>
      </c>
      <c r="H735" s="1">
        <v>0.09</v>
      </c>
      <c r="I735" s="1" t="s">
        <v>18</v>
      </c>
    </row>
    <row r="736" spans="1:9" x14ac:dyDescent="0.3">
      <c r="A736" s="1" t="s">
        <v>765</v>
      </c>
      <c r="B736" s="1" t="s">
        <v>9</v>
      </c>
      <c r="C736" s="2">
        <v>43289</v>
      </c>
      <c r="D736" s="1" t="s">
        <v>29</v>
      </c>
      <c r="E736" s="1">
        <v>18</v>
      </c>
      <c r="F736" s="1">
        <v>16</v>
      </c>
      <c r="G736" s="1">
        <v>288</v>
      </c>
      <c r="H736" s="1">
        <v>0.05</v>
      </c>
      <c r="I736" s="1" t="s">
        <v>35</v>
      </c>
    </row>
    <row r="737" spans="1:9" x14ac:dyDescent="0.3">
      <c r="A737" s="1" t="s">
        <v>766</v>
      </c>
      <c r="B737" s="1" t="s">
        <v>28</v>
      </c>
      <c r="C737" s="2">
        <v>43289</v>
      </c>
      <c r="D737" s="1" t="s">
        <v>17</v>
      </c>
      <c r="E737" s="1">
        <v>5</v>
      </c>
      <c r="F737" s="1">
        <v>230</v>
      </c>
      <c r="G737" s="1">
        <v>1150</v>
      </c>
      <c r="H737" s="1">
        <v>0.12</v>
      </c>
      <c r="I737" s="1" t="s">
        <v>18</v>
      </c>
    </row>
    <row r="738" spans="1:9" x14ac:dyDescent="0.3">
      <c r="A738" s="1" t="s">
        <v>767</v>
      </c>
      <c r="B738" s="1" t="s">
        <v>28</v>
      </c>
      <c r="C738" s="2">
        <v>43289</v>
      </c>
      <c r="D738" s="1" t="s">
        <v>32</v>
      </c>
      <c r="E738" s="1">
        <v>7</v>
      </c>
      <c r="F738" s="1">
        <v>150</v>
      </c>
      <c r="G738" s="1">
        <v>1050</v>
      </c>
      <c r="H738" s="1">
        <v>0.02</v>
      </c>
      <c r="I738" s="1" t="s">
        <v>35</v>
      </c>
    </row>
    <row r="739" spans="1:9" x14ac:dyDescent="0.3">
      <c r="A739" s="1" t="s">
        <v>768</v>
      </c>
      <c r="B739" s="1" t="s">
        <v>22</v>
      </c>
      <c r="C739" s="2">
        <v>43289</v>
      </c>
      <c r="D739" s="1" t="s">
        <v>14</v>
      </c>
      <c r="E739" s="1">
        <v>2</v>
      </c>
      <c r="F739" s="1">
        <v>40</v>
      </c>
      <c r="G739" s="1">
        <v>80</v>
      </c>
      <c r="H739" s="1">
        <v>0.03</v>
      </c>
      <c r="I739" s="1" t="s">
        <v>18</v>
      </c>
    </row>
    <row r="740" spans="1:9" x14ac:dyDescent="0.3">
      <c r="A740" s="1" t="s">
        <v>769</v>
      </c>
      <c r="B740" s="1" t="s">
        <v>25</v>
      </c>
      <c r="C740" s="2">
        <v>43289</v>
      </c>
      <c r="D740" s="1" t="s">
        <v>14</v>
      </c>
      <c r="E740" s="1">
        <v>11</v>
      </c>
      <c r="F740" s="1">
        <v>40</v>
      </c>
      <c r="G740" s="1">
        <v>440</v>
      </c>
      <c r="H740" s="1">
        <v>0.06</v>
      </c>
      <c r="I740" s="1" t="s">
        <v>35</v>
      </c>
    </row>
    <row r="741" spans="1:9" x14ac:dyDescent="0.3">
      <c r="A741" s="1" t="s">
        <v>770</v>
      </c>
      <c r="B741" s="1" t="s">
        <v>25</v>
      </c>
      <c r="C741" s="2">
        <v>43289</v>
      </c>
      <c r="D741" s="1" t="s">
        <v>10</v>
      </c>
      <c r="E741" s="1">
        <v>7</v>
      </c>
      <c r="F741" s="1">
        <v>80</v>
      </c>
      <c r="G741" s="1">
        <v>560</v>
      </c>
      <c r="H741" s="1">
        <v>0.02</v>
      </c>
      <c r="I741" s="1" t="s">
        <v>18</v>
      </c>
    </row>
    <row r="742" spans="1:9" x14ac:dyDescent="0.3">
      <c r="A742" s="1" t="s">
        <v>771</v>
      </c>
      <c r="B742" s="1" t="s">
        <v>22</v>
      </c>
      <c r="C742" s="2">
        <v>43290</v>
      </c>
      <c r="D742" s="1" t="s">
        <v>14</v>
      </c>
      <c r="E742" s="1">
        <v>4</v>
      </c>
      <c r="F742" s="1">
        <v>40</v>
      </c>
      <c r="G742" s="1">
        <v>160</v>
      </c>
      <c r="H742" s="1">
        <v>0.11</v>
      </c>
      <c r="I742" s="1" t="s">
        <v>35</v>
      </c>
    </row>
    <row r="743" spans="1:9" x14ac:dyDescent="0.3">
      <c r="A743" s="1" t="s">
        <v>772</v>
      </c>
      <c r="B743" s="1" t="s">
        <v>22</v>
      </c>
      <c r="C743" s="2">
        <v>43290</v>
      </c>
      <c r="D743" s="1" t="s">
        <v>14</v>
      </c>
      <c r="E743" s="1">
        <v>2</v>
      </c>
      <c r="F743" s="1">
        <v>40</v>
      </c>
      <c r="G743" s="1">
        <v>80</v>
      </c>
      <c r="H743" s="1">
        <v>0.02</v>
      </c>
      <c r="I743" s="1" t="s">
        <v>18</v>
      </c>
    </row>
    <row r="744" spans="1:9" x14ac:dyDescent="0.3">
      <c r="A744" s="1" t="s">
        <v>773</v>
      </c>
      <c r="B744" s="1" t="s">
        <v>25</v>
      </c>
      <c r="C744" s="2">
        <v>43290</v>
      </c>
      <c r="D744" s="1" t="s">
        <v>17</v>
      </c>
      <c r="E744" s="1">
        <v>23</v>
      </c>
      <c r="F744" s="1">
        <v>230</v>
      </c>
      <c r="G744" s="1">
        <v>5290</v>
      </c>
      <c r="H744" s="1">
        <v>0.06</v>
      </c>
      <c r="I744" s="1" t="s">
        <v>35</v>
      </c>
    </row>
    <row r="745" spans="1:9" x14ac:dyDescent="0.3">
      <c r="A745" s="1" t="s">
        <v>774</v>
      </c>
      <c r="B745" s="1" t="s">
        <v>28</v>
      </c>
      <c r="C745" s="2">
        <v>43290</v>
      </c>
      <c r="D745" s="1" t="s">
        <v>10</v>
      </c>
      <c r="E745" s="1">
        <v>21</v>
      </c>
      <c r="F745" s="1">
        <v>80</v>
      </c>
      <c r="G745" s="1">
        <v>1680</v>
      </c>
      <c r="H745" s="1">
        <v>0.09</v>
      </c>
      <c r="I745" s="1" t="s">
        <v>18</v>
      </c>
    </row>
    <row r="746" spans="1:9" x14ac:dyDescent="0.3">
      <c r="A746" s="1" t="s">
        <v>775</v>
      </c>
      <c r="B746" s="1" t="s">
        <v>28</v>
      </c>
      <c r="C746" s="2">
        <v>43290</v>
      </c>
      <c r="D746" s="1" t="s">
        <v>10</v>
      </c>
      <c r="E746" s="1">
        <v>9</v>
      </c>
      <c r="F746" s="1">
        <v>80</v>
      </c>
      <c r="G746" s="1">
        <v>720</v>
      </c>
      <c r="H746" s="1">
        <v>0.06</v>
      </c>
      <c r="I746" s="1" t="s">
        <v>35</v>
      </c>
    </row>
    <row r="747" spans="1:9" x14ac:dyDescent="0.3">
      <c r="A747" s="1" t="s">
        <v>776</v>
      </c>
      <c r="B747" s="1" t="s">
        <v>28</v>
      </c>
      <c r="C747" s="2">
        <v>43290</v>
      </c>
      <c r="D747" s="1" t="s">
        <v>10</v>
      </c>
      <c r="E747" s="1">
        <v>22</v>
      </c>
      <c r="F747" s="1">
        <v>80</v>
      </c>
      <c r="G747" s="1">
        <v>1760</v>
      </c>
      <c r="H747" s="1">
        <v>0.11</v>
      </c>
      <c r="I747" s="1" t="s">
        <v>18</v>
      </c>
    </row>
    <row r="748" spans="1:9" x14ac:dyDescent="0.3">
      <c r="A748" s="1" t="s">
        <v>777</v>
      </c>
      <c r="B748" s="1" t="s">
        <v>22</v>
      </c>
      <c r="C748" s="2">
        <v>43291</v>
      </c>
      <c r="D748" s="1" t="s">
        <v>17</v>
      </c>
      <c r="E748" s="1">
        <v>15</v>
      </c>
      <c r="F748" s="1">
        <v>230</v>
      </c>
      <c r="G748" s="1">
        <v>3450</v>
      </c>
      <c r="H748" s="1">
        <v>0.11</v>
      </c>
      <c r="I748" s="1" t="s">
        <v>35</v>
      </c>
    </row>
    <row r="749" spans="1:9" x14ac:dyDescent="0.3">
      <c r="A749" s="1" t="s">
        <v>778</v>
      </c>
      <c r="B749" s="1" t="s">
        <v>13</v>
      </c>
      <c r="C749" s="2">
        <v>43291</v>
      </c>
      <c r="D749" s="1" t="s">
        <v>14</v>
      </c>
      <c r="E749" s="1">
        <v>7</v>
      </c>
      <c r="F749" s="1">
        <v>40</v>
      </c>
      <c r="G749" s="1">
        <v>280</v>
      </c>
      <c r="H749" s="1">
        <v>0.01</v>
      </c>
      <c r="I749" s="1" t="s">
        <v>18</v>
      </c>
    </row>
    <row r="750" spans="1:9" x14ac:dyDescent="0.3">
      <c r="A750" s="1" t="s">
        <v>779</v>
      </c>
      <c r="B750" s="1" t="s">
        <v>28</v>
      </c>
      <c r="C750" s="2">
        <v>43291</v>
      </c>
      <c r="D750" s="1" t="s">
        <v>32</v>
      </c>
      <c r="E750" s="1">
        <v>17</v>
      </c>
      <c r="F750" s="1">
        <v>150</v>
      </c>
      <c r="G750" s="1">
        <v>2550</v>
      </c>
      <c r="H750" s="1">
        <v>0.02</v>
      </c>
      <c r="I750" s="1" t="s">
        <v>35</v>
      </c>
    </row>
    <row r="751" spans="1:9" x14ac:dyDescent="0.3">
      <c r="A751" s="1" t="s">
        <v>780</v>
      </c>
      <c r="B751" s="1" t="s">
        <v>13</v>
      </c>
      <c r="C751" s="2">
        <v>43291</v>
      </c>
      <c r="D751" s="1" t="s">
        <v>32</v>
      </c>
      <c r="E751" s="1">
        <v>22</v>
      </c>
      <c r="F751" s="1">
        <v>150</v>
      </c>
      <c r="G751" s="1">
        <v>3300</v>
      </c>
      <c r="H751" s="1">
        <v>0.02</v>
      </c>
      <c r="I751" s="1" t="s">
        <v>18</v>
      </c>
    </row>
    <row r="752" spans="1:9" x14ac:dyDescent="0.3">
      <c r="A752" s="1" t="s">
        <v>781</v>
      </c>
      <c r="B752" s="1" t="s">
        <v>22</v>
      </c>
      <c r="C752" s="2">
        <v>43291</v>
      </c>
      <c r="D752" s="1" t="s">
        <v>17</v>
      </c>
      <c r="E752" s="1">
        <v>10</v>
      </c>
      <c r="F752" s="1">
        <v>230</v>
      </c>
      <c r="G752" s="1">
        <v>2300</v>
      </c>
      <c r="H752" s="1">
        <v>0.02</v>
      </c>
      <c r="I752" s="1" t="s">
        <v>35</v>
      </c>
    </row>
    <row r="753" spans="1:9" x14ac:dyDescent="0.3">
      <c r="A753" s="1" t="s">
        <v>782</v>
      </c>
      <c r="B753" s="1" t="s">
        <v>28</v>
      </c>
      <c r="C753" s="2">
        <v>43291</v>
      </c>
      <c r="D753" s="1" t="s">
        <v>14</v>
      </c>
      <c r="E753" s="1">
        <v>21</v>
      </c>
      <c r="F753" s="1">
        <v>40</v>
      </c>
      <c r="G753" s="1">
        <v>840</v>
      </c>
      <c r="H753" s="1">
        <v>0.01</v>
      </c>
      <c r="I753" s="1" t="s">
        <v>18</v>
      </c>
    </row>
    <row r="754" spans="1:9" x14ac:dyDescent="0.3">
      <c r="A754" s="1" t="s">
        <v>783</v>
      </c>
      <c r="B754" s="1" t="s">
        <v>22</v>
      </c>
      <c r="C754" s="2">
        <v>43291</v>
      </c>
      <c r="D754" s="1" t="s">
        <v>17</v>
      </c>
      <c r="E754" s="1">
        <v>5</v>
      </c>
      <c r="F754" s="1">
        <v>230</v>
      </c>
      <c r="G754" s="1">
        <v>1150</v>
      </c>
      <c r="H754" s="1">
        <v>0.1</v>
      </c>
      <c r="I754" s="1" t="s">
        <v>35</v>
      </c>
    </row>
    <row r="755" spans="1:9" x14ac:dyDescent="0.3">
      <c r="A755" s="1" t="s">
        <v>784</v>
      </c>
      <c r="B755" s="1" t="s">
        <v>28</v>
      </c>
      <c r="C755" s="2">
        <v>43291</v>
      </c>
      <c r="D755" s="1" t="s">
        <v>17</v>
      </c>
      <c r="E755" s="1">
        <v>13</v>
      </c>
      <c r="F755" s="1">
        <v>230</v>
      </c>
      <c r="G755" s="1">
        <v>2990</v>
      </c>
      <c r="H755" s="1">
        <v>0.06</v>
      </c>
      <c r="I755" s="1" t="s">
        <v>18</v>
      </c>
    </row>
    <row r="756" spans="1:9" x14ac:dyDescent="0.3">
      <c r="A756" s="1" t="s">
        <v>785</v>
      </c>
      <c r="B756" s="1" t="s">
        <v>9</v>
      </c>
      <c r="C756" s="2">
        <v>43291</v>
      </c>
      <c r="D756" s="1" t="s">
        <v>32</v>
      </c>
      <c r="E756" s="1">
        <v>23</v>
      </c>
      <c r="F756" s="1">
        <v>150</v>
      </c>
      <c r="G756" s="1">
        <v>3450</v>
      </c>
      <c r="H756" s="1">
        <v>0.1</v>
      </c>
      <c r="I756" s="1" t="s">
        <v>35</v>
      </c>
    </row>
    <row r="757" spans="1:9" x14ac:dyDescent="0.3">
      <c r="A757" s="1" t="s">
        <v>786</v>
      </c>
      <c r="B757" s="1" t="s">
        <v>9</v>
      </c>
      <c r="C757" s="2">
        <v>43291</v>
      </c>
      <c r="D757" s="1" t="s">
        <v>32</v>
      </c>
      <c r="E757" s="1">
        <v>20</v>
      </c>
      <c r="F757" s="1">
        <v>150</v>
      </c>
      <c r="G757" s="1">
        <v>3000</v>
      </c>
      <c r="H757" s="1">
        <v>0.03</v>
      </c>
      <c r="I757" s="1" t="s">
        <v>18</v>
      </c>
    </row>
    <row r="758" spans="1:9" x14ac:dyDescent="0.3">
      <c r="A758" s="1" t="s">
        <v>787</v>
      </c>
      <c r="B758" s="1" t="s">
        <v>9</v>
      </c>
      <c r="C758" s="2">
        <v>43292</v>
      </c>
      <c r="D758" s="1" t="s">
        <v>17</v>
      </c>
      <c r="E758" s="1">
        <v>3</v>
      </c>
      <c r="F758" s="1">
        <v>230</v>
      </c>
      <c r="G758" s="1">
        <v>690</v>
      </c>
      <c r="H758" s="1">
        <v>0.11</v>
      </c>
      <c r="I758" s="1" t="s">
        <v>35</v>
      </c>
    </row>
    <row r="759" spans="1:9" x14ac:dyDescent="0.3">
      <c r="A759" s="1" t="s">
        <v>788</v>
      </c>
      <c r="B759" s="1" t="s">
        <v>13</v>
      </c>
      <c r="C759" s="2">
        <v>43292</v>
      </c>
      <c r="D759" s="1" t="s">
        <v>32</v>
      </c>
      <c r="E759" s="1">
        <v>16</v>
      </c>
      <c r="F759" s="1">
        <v>150</v>
      </c>
      <c r="G759" s="1">
        <v>2400</v>
      </c>
      <c r="H759" s="1">
        <v>0.08</v>
      </c>
      <c r="I759" s="1" t="s">
        <v>18</v>
      </c>
    </row>
    <row r="760" spans="1:9" x14ac:dyDescent="0.3">
      <c r="A760" s="1" t="s">
        <v>789</v>
      </c>
      <c r="B760" s="1" t="s">
        <v>28</v>
      </c>
      <c r="C760" s="2">
        <v>43292</v>
      </c>
      <c r="D760" s="1" t="s">
        <v>29</v>
      </c>
      <c r="E760" s="1">
        <v>14</v>
      </c>
      <c r="F760" s="1">
        <v>16</v>
      </c>
      <c r="G760" s="1">
        <v>224</v>
      </c>
      <c r="H760" s="1">
        <v>0.06</v>
      </c>
      <c r="I760" s="1" t="s">
        <v>35</v>
      </c>
    </row>
    <row r="761" spans="1:9" x14ac:dyDescent="0.3">
      <c r="A761" s="1" t="s">
        <v>790</v>
      </c>
      <c r="B761" s="1" t="s">
        <v>13</v>
      </c>
      <c r="C761" s="2">
        <v>43292</v>
      </c>
      <c r="D761" s="1" t="s">
        <v>32</v>
      </c>
      <c r="E761" s="1">
        <v>16</v>
      </c>
      <c r="F761" s="1">
        <v>150</v>
      </c>
      <c r="G761" s="1">
        <v>2400</v>
      </c>
      <c r="H761" s="1">
        <v>0.03</v>
      </c>
      <c r="I761" s="1" t="s">
        <v>18</v>
      </c>
    </row>
    <row r="762" spans="1:9" x14ac:dyDescent="0.3">
      <c r="A762" s="1" t="s">
        <v>791</v>
      </c>
      <c r="B762" s="1" t="s">
        <v>28</v>
      </c>
      <c r="C762" s="2">
        <v>43292</v>
      </c>
      <c r="D762" s="1" t="s">
        <v>29</v>
      </c>
      <c r="E762" s="1">
        <v>19</v>
      </c>
      <c r="F762" s="1">
        <v>16</v>
      </c>
      <c r="G762" s="1">
        <v>304</v>
      </c>
      <c r="H762" s="1">
        <v>0.02</v>
      </c>
      <c r="I762" s="1" t="s">
        <v>35</v>
      </c>
    </row>
    <row r="763" spans="1:9" x14ac:dyDescent="0.3">
      <c r="A763" s="1" t="s">
        <v>792</v>
      </c>
      <c r="B763" s="1" t="s">
        <v>28</v>
      </c>
      <c r="C763" s="2">
        <v>43292</v>
      </c>
      <c r="D763" s="1" t="s">
        <v>10</v>
      </c>
      <c r="E763" s="1">
        <v>6</v>
      </c>
      <c r="F763" s="1">
        <v>80</v>
      </c>
      <c r="G763" s="1">
        <v>480</v>
      </c>
      <c r="H763" s="1">
        <v>0.09</v>
      </c>
      <c r="I763" s="1" t="s">
        <v>18</v>
      </c>
    </row>
    <row r="764" spans="1:9" x14ac:dyDescent="0.3">
      <c r="A764" s="1" t="s">
        <v>793</v>
      </c>
      <c r="B764" s="1" t="s">
        <v>28</v>
      </c>
      <c r="C764" s="2">
        <v>43292</v>
      </c>
      <c r="D764" s="1" t="s">
        <v>10</v>
      </c>
      <c r="E764" s="1">
        <v>9</v>
      </c>
      <c r="F764" s="1">
        <v>80</v>
      </c>
      <c r="G764" s="1">
        <v>720</v>
      </c>
      <c r="H764" s="1">
        <v>7.0000000000000007E-2</v>
      </c>
      <c r="I764" s="1" t="s">
        <v>35</v>
      </c>
    </row>
    <row r="765" spans="1:9" x14ac:dyDescent="0.3">
      <c r="A765" s="1" t="s">
        <v>794</v>
      </c>
      <c r="B765" s="1" t="s">
        <v>13</v>
      </c>
      <c r="C765" s="2">
        <v>43292</v>
      </c>
      <c r="D765" s="1" t="s">
        <v>32</v>
      </c>
      <c r="E765" s="1">
        <v>20</v>
      </c>
      <c r="F765" s="1">
        <v>150</v>
      </c>
      <c r="G765" s="1">
        <v>3000</v>
      </c>
      <c r="H765" s="1">
        <v>0.09</v>
      </c>
      <c r="I765" s="1" t="s">
        <v>18</v>
      </c>
    </row>
    <row r="766" spans="1:9" x14ac:dyDescent="0.3">
      <c r="A766" s="1" t="s">
        <v>795</v>
      </c>
      <c r="B766" s="1" t="s">
        <v>22</v>
      </c>
      <c r="C766" s="2">
        <v>43292</v>
      </c>
      <c r="D766" s="1" t="s">
        <v>10</v>
      </c>
      <c r="E766" s="1">
        <v>10</v>
      </c>
      <c r="F766" s="1">
        <v>80</v>
      </c>
      <c r="G766" s="1">
        <v>800</v>
      </c>
      <c r="H766" s="1">
        <v>0.11</v>
      </c>
      <c r="I766" s="1" t="s">
        <v>35</v>
      </c>
    </row>
    <row r="767" spans="1:9" x14ac:dyDescent="0.3">
      <c r="A767" s="1" t="s">
        <v>796</v>
      </c>
      <c r="B767" s="1" t="s">
        <v>9</v>
      </c>
      <c r="C767" s="2">
        <v>43292</v>
      </c>
      <c r="D767" s="1" t="s">
        <v>29</v>
      </c>
      <c r="E767" s="1">
        <v>4</v>
      </c>
      <c r="F767" s="1">
        <v>16</v>
      </c>
      <c r="G767" s="1">
        <v>64</v>
      </c>
      <c r="H767" s="1">
        <v>0.12</v>
      </c>
      <c r="I767" s="1" t="s">
        <v>18</v>
      </c>
    </row>
    <row r="768" spans="1:9" x14ac:dyDescent="0.3">
      <c r="A768" s="1" t="s">
        <v>797</v>
      </c>
      <c r="B768" s="1" t="s">
        <v>28</v>
      </c>
      <c r="C768" s="2">
        <v>43292</v>
      </c>
      <c r="D768" s="1" t="s">
        <v>14</v>
      </c>
      <c r="E768" s="1">
        <v>16</v>
      </c>
      <c r="F768" s="1">
        <v>40</v>
      </c>
      <c r="G768" s="1">
        <v>640</v>
      </c>
      <c r="H768" s="1">
        <v>0.11</v>
      </c>
      <c r="I768" s="1" t="s">
        <v>35</v>
      </c>
    </row>
    <row r="769" spans="1:9" x14ac:dyDescent="0.3">
      <c r="A769" s="1" t="s">
        <v>798</v>
      </c>
      <c r="B769" s="1" t="s">
        <v>13</v>
      </c>
      <c r="C769" s="2">
        <v>43293</v>
      </c>
      <c r="D769" s="1" t="s">
        <v>10</v>
      </c>
      <c r="E769" s="1">
        <v>5</v>
      </c>
      <c r="F769" s="1">
        <v>80</v>
      </c>
      <c r="G769" s="1">
        <v>400</v>
      </c>
      <c r="H769" s="1">
        <v>0.04</v>
      </c>
      <c r="I769" s="1" t="s">
        <v>18</v>
      </c>
    </row>
    <row r="770" spans="1:9" x14ac:dyDescent="0.3">
      <c r="A770" s="1" t="s">
        <v>799</v>
      </c>
      <c r="B770" s="1" t="s">
        <v>22</v>
      </c>
      <c r="C770" s="2">
        <v>43293</v>
      </c>
      <c r="D770" s="1" t="s">
        <v>29</v>
      </c>
      <c r="E770" s="1">
        <v>11</v>
      </c>
      <c r="F770" s="1">
        <v>16</v>
      </c>
      <c r="G770" s="1">
        <v>176</v>
      </c>
      <c r="H770" s="1">
        <v>0.04</v>
      </c>
      <c r="I770" s="1" t="s">
        <v>35</v>
      </c>
    </row>
    <row r="771" spans="1:9" x14ac:dyDescent="0.3">
      <c r="A771" s="1" t="s">
        <v>800</v>
      </c>
      <c r="B771" s="1" t="s">
        <v>9</v>
      </c>
      <c r="C771" s="2">
        <v>43293</v>
      </c>
      <c r="D771" s="1" t="s">
        <v>32</v>
      </c>
      <c r="E771" s="1">
        <v>17</v>
      </c>
      <c r="F771" s="1">
        <v>150</v>
      </c>
      <c r="G771" s="1">
        <v>2550</v>
      </c>
      <c r="H771" s="1">
        <v>0.12</v>
      </c>
      <c r="I771" s="1" t="s">
        <v>18</v>
      </c>
    </row>
    <row r="772" spans="1:9" x14ac:dyDescent="0.3">
      <c r="A772" s="1" t="s">
        <v>801</v>
      </c>
      <c r="B772" s="1" t="s">
        <v>13</v>
      </c>
      <c r="C772" s="2">
        <v>43293</v>
      </c>
      <c r="D772" s="1" t="s">
        <v>17</v>
      </c>
      <c r="E772" s="1">
        <v>19</v>
      </c>
      <c r="F772" s="1">
        <v>230</v>
      </c>
      <c r="G772" s="1">
        <v>4370</v>
      </c>
      <c r="H772" s="1">
        <v>0.11</v>
      </c>
      <c r="I772" s="1" t="s">
        <v>35</v>
      </c>
    </row>
    <row r="773" spans="1:9" x14ac:dyDescent="0.3">
      <c r="A773" s="1" t="s">
        <v>802</v>
      </c>
      <c r="B773" s="1" t="s">
        <v>9</v>
      </c>
      <c r="C773" s="2">
        <v>43293</v>
      </c>
      <c r="D773" s="1" t="s">
        <v>10</v>
      </c>
      <c r="E773" s="1">
        <v>21</v>
      </c>
      <c r="F773" s="1">
        <v>80</v>
      </c>
      <c r="G773" s="1">
        <v>1680</v>
      </c>
      <c r="H773" s="1">
        <v>0.04</v>
      </c>
      <c r="I773" s="1" t="s">
        <v>18</v>
      </c>
    </row>
    <row r="774" spans="1:9" x14ac:dyDescent="0.3">
      <c r="A774" s="1" t="s">
        <v>803</v>
      </c>
      <c r="B774" s="1" t="s">
        <v>13</v>
      </c>
      <c r="C774" s="2">
        <v>43293</v>
      </c>
      <c r="D774" s="1" t="s">
        <v>17</v>
      </c>
      <c r="E774" s="1">
        <v>7</v>
      </c>
      <c r="F774" s="1">
        <v>230</v>
      </c>
      <c r="G774" s="1">
        <v>1610</v>
      </c>
      <c r="H774" s="1">
        <v>0.01</v>
      </c>
      <c r="I774" s="1" t="s">
        <v>35</v>
      </c>
    </row>
    <row r="775" spans="1:9" x14ac:dyDescent="0.3">
      <c r="A775" s="1" t="s">
        <v>804</v>
      </c>
      <c r="B775" s="1" t="s">
        <v>22</v>
      </c>
      <c r="C775" s="2">
        <v>43293</v>
      </c>
      <c r="D775" s="1" t="s">
        <v>14</v>
      </c>
      <c r="E775" s="1">
        <v>2</v>
      </c>
      <c r="F775" s="1">
        <v>40</v>
      </c>
      <c r="G775" s="1">
        <v>80</v>
      </c>
      <c r="H775" s="1">
        <v>0.03</v>
      </c>
      <c r="I775" s="1" t="s">
        <v>18</v>
      </c>
    </row>
    <row r="776" spans="1:9" x14ac:dyDescent="0.3">
      <c r="A776" s="1" t="s">
        <v>805</v>
      </c>
      <c r="B776" s="1" t="s">
        <v>9</v>
      </c>
      <c r="C776" s="2">
        <v>43293</v>
      </c>
      <c r="D776" s="1" t="s">
        <v>32</v>
      </c>
      <c r="E776" s="1">
        <v>7</v>
      </c>
      <c r="F776" s="1">
        <v>150</v>
      </c>
      <c r="G776" s="1">
        <v>1050</v>
      </c>
      <c r="H776" s="1">
        <v>0.02</v>
      </c>
      <c r="I776" s="1" t="s">
        <v>35</v>
      </c>
    </row>
    <row r="777" spans="1:9" x14ac:dyDescent="0.3">
      <c r="A777" s="1" t="s">
        <v>806</v>
      </c>
      <c r="B777" s="1" t="s">
        <v>22</v>
      </c>
      <c r="C777" s="2">
        <v>43294</v>
      </c>
      <c r="D777" s="1" t="s">
        <v>10</v>
      </c>
      <c r="E777" s="1">
        <v>16</v>
      </c>
      <c r="F777" s="1">
        <v>80</v>
      </c>
      <c r="G777" s="1">
        <v>1280</v>
      </c>
      <c r="H777" s="1">
        <v>0.04</v>
      </c>
      <c r="I777" s="1" t="s">
        <v>18</v>
      </c>
    </row>
    <row r="778" spans="1:9" x14ac:dyDescent="0.3">
      <c r="A778" s="1" t="s">
        <v>807</v>
      </c>
      <c r="B778" s="1" t="s">
        <v>13</v>
      </c>
      <c r="C778" s="2">
        <v>43294</v>
      </c>
      <c r="D778" s="1" t="s">
        <v>14</v>
      </c>
      <c r="E778" s="1">
        <v>4</v>
      </c>
      <c r="F778" s="1">
        <v>40</v>
      </c>
      <c r="G778" s="1">
        <v>160</v>
      </c>
      <c r="H778" s="1">
        <v>0.12</v>
      </c>
      <c r="I778" s="1" t="s">
        <v>35</v>
      </c>
    </row>
    <row r="779" spans="1:9" x14ac:dyDescent="0.3">
      <c r="A779" s="1" t="s">
        <v>808</v>
      </c>
      <c r="B779" s="1" t="s">
        <v>9</v>
      </c>
      <c r="C779" s="2">
        <v>43294</v>
      </c>
      <c r="D779" s="1" t="s">
        <v>29</v>
      </c>
      <c r="E779" s="1">
        <v>22</v>
      </c>
      <c r="F779" s="1">
        <v>16</v>
      </c>
      <c r="G779" s="1">
        <v>352</v>
      </c>
      <c r="H779" s="1">
        <v>0.01</v>
      </c>
      <c r="I779" s="1" t="s">
        <v>18</v>
      </c>
    </row>
    <row r="780" spans="1:9" x14ac:dyDescent="0.3">
      <c r="A780" s="1" t="s">
        <v>809</v>
      </c>
      <c r="B780" s="1" t="s">
        <v>25</v>
      </c>
      <c r="C780" s="2">
        <v>43294</v>
      </c>
      <c r="D780" s="1" t="s">
        <v>14</v>
      </c>
      <c r="E780" s="1">
        <v>18</v>
      </c>
      <c r="F780" s="1">
        <v>40</v>
      </c>
      <c r="G780" s="1">
        <v>720</v>
      </c>
      <c r="H780" s="1">
        <v>0.06</v>
      </c>
      <c r="I780" s="1" t="s">
        <v>35</v>
      </c>
    </row>
    <row r="781" spans="1:9" x14ac:dyDescent="0.3">
      <c r="A781" s="1" t="s">
        <v>810</v>
      </c>
      <c r="B781" s="1" t="s">
        <v>22</v>
      </c>
      <c r="C781" s="2">
        <v>43294</v>
      </c>
      <c r="D781" s="1" t="s">
        <v>10</v>
      </c>
      <c r="E781" s="1">
        <v>6</v>
      </c>
      <c r="F781" s="1">
        <v>80</v>
      </c>
      <c r="G781" s="1">
        <v>480</v>
      </c>
      <c r="H781" s="1">
        <v>0.01</v>
      </c>
      <c r="I781" s="1" t="s">
        <v>18</v>
      </c>
    </row>
    <row r="782" spans="1:9" x14ac:dyDescent="0.3">
      <c r="A782" s="1" t="s">
        <v>811</v>
      </c>
      <c r="B782" s="1" t="s">
        <v>22</v>
      </c>
      <c r="C782" s="2">
        <v>43294</v>
      </c>
      <c r="D782" s="1" t="s">
        <v>17</v>
      </c>
      <c r="E782" s="1">
        <v>2</v>
      </c>
      <c r="F782" s="1">
        <v>230</v>
      </c>
      <c r="G782" s="1">
        <v>460</v>
      </c>
      <c r="H782" s="1">
        <v>0.09</v>
      </c>
      <c r="I782" s="1" t="s">
        <v>35</v>
      </c>
    </row>
    <row r="783" spans="1:9" x14ac:dyDescent="0.3">
      <c r="A783" s="1" t="s">
        <v>812</v>
      </c>
      <c r="B783" s="1" t="s">
        <v>28</v>
      </c>
      <c r="C783" s="2">
        <v>43295</v>
      </c>
      <c r="D783" s="1" t="s">
        <v>32</v>
      </c>
      <c r="E783" s="1">
        <v>11</v>
      </c>
      <c r="F783" s="1">
        <v>150</v>
      </c>
      <c r="G783" s="1">
        <v>1650</v>
      </c>
      <c r="H783" s="1">
        <v>0.09</v>
      </c>
      <c r="I783" s="1" t="s">
        <v>18</v>
      </c>
    </row>
    <row r="784" spans="1:9" x14ac:dyDescent="0.3">
      <c r="A784" s="1" t="s">
        <v>813</v>
      </c>
      <c r="B784" s="1" t="s">
        <v>25</v>
      </c>
      <c r="C784" s="2">
        <v>43295</v>
      </c>
      <c r="D784" s="1" t="s">
        <v>32</v>
      </c>
      <c r="E784" s="1">
        <v>15</v>
      </c>
      <c r="F784" s="1">
        <v>150</v>
      </c>
      <c r="G784" s="1">
        <v>2250</v>
      </c>
      <c r="H784" s="1">
        <v>0.08</v>
      </c>
      <c r="I784" s="1" t="s">
        <v>35</v>
      </c>
    </row>
    <row r="785" spans="1:9" x14ac:dyDescent="0.3">
      <c r="A785" s="1" t="s">
        <v>814</v>
      </c>
      <c r="B785" s="1" t="s">
        <v>9</v>
      </c>
      <c r="C785" s="2">
        <v>43295</v>
      </c>
      <c r="D785" s="1" t="s">
        <v>10</v>
      </c>
      <c r="E785" s="1">
        <v>17</v>
      </c>
      <c r="F785" s="1">
        <v>80</v>
      </c>
      <c r="G785" s="1">
        <v>1360</v>
      </c>
      <c r="H785" s="1">
        <v>0.09</v>
      </c>
      <c r="I785" s="1" t="s">
        <v>18</v>
      </c>
    </row>
    <row r="786" spans="1:9" x14ac:dyDescent="0.3">
      <c r="A786" s="1" t="s">
        <v>815</v>
      </c>
      <c r="B786" s="1" t="s">
        <v>28</v>
      </c>
      <c r="C786" s="2">
        <v>43295</v>
      </c>
      <c r="D786" s="1" t="s">
        <v>32</v>
      </c>
      <c r="E786" s="1">
        <v>13</v>
      </c>
      <c r="F786" s="1">
        <v>150</v>
      </c>
      <c r="G786" s="1">
        <v>1950</v>
      </c>
      <c r="H786" s="1">
        <v>0.11</v>
      </c>
      <c r="I786" s="1" t="s">
        <v>35</v>
      </c>
    </row>
    <row r="787" spans="1:9" x14ac:dyDescent="0.3">
      <c r="A787" s="1" t="s">
        <v>816</v>
      </c>
      <c r="B787" s="1" t="s">
        <v>25</v>
      </c>
      <c r="C787" s="2">
        <v>43295</v>
      </c>
      <c r="D787" s="1" t="s">
        <v>14</v>
      </c>
      <c r="E787" s="1">
        <v>7</v>
      </c>
      <c r="F787" s="1">
        <v>40</v>
      </c>
      <c r="G787" s="1">
        <v>280</v>
      </c>
      <c r="H787" s="1">
        <v>7.0000000000000007E-2</v>
      </c>
      <c r="I787" s="1" t="s">
        <v>18</v>
      </c>
    </row>
    <row r="788" spans="1:9" x14ac:dyDescent="0.3">
      <c r="A788" s="1" t="s">
        <v>817</v>
      </c>
      <c r="B788" s="1" t="s">
        <v>25</v>
      </c>
      <c r="C788" s="2">
        <v>43295</v>
      </c>
      <c r="D788" s="1" t="s">
        <v>17</v>
      </c>
      <c r="E788" s="1">
        <v>3</v>
      </c>
      <c r="F788" s="1">
        <v>230</v>
      </c>
      <c r="G788" s="1">
        <v>690</v>
      </c>
      <c r="H788" s="1">
        <v>0.01</v>
      </c>
      <c r="I788" s="1" t="s">
        <v>35</v>
      </c>
    </row>
    <row r="789" spans="1:9" x14ac:dyDescent="0.3">
      <c r="A789" s="1" t="s">
        <v>818</v>
      </c>
      <c r="B789" s="1" t="s">
        <v>22</v>
      </c>
      <c r="C789" s="2">
        <v>43295</v>
      </c>
      <c r="D789" s="1" t="s">
        <v>14</v>
      </c>
      <c r="E789" s="1">
        <v>12</v>
      </c>
      <c r="F789" s="1">
        <v>40</v>
      </c>
      <c r="G789" s="1">
        <v>480</v>
      </c>
      <c r="H789" s="1">
        <v>0.02</v>
      </c>
      <c r="I789" s="1" t="s">
        <v>18</v>
      </c>
    </row>
    <row r="790" spans="1:9" x14ac:dyDescent="0.3">
      <c r="A790" s="1" t="s">
        <v>819</v>
      </c>
      <c r="B790" s="1" t="s">
        <v>22</v>
      </c>
      <c r="C790" s="2">
        <v>43295</v>
      </c>
      <c r="D790" s="1" t="s">
        <v>32</v>
      </c>
      <c r="E790" s="1">
        <v>11</v>
      </c>
      <c r="F790" s="1">
        <v>150</v>
      </c>
      <c r="G790" s="1">
        <v>1650</v>
      </c>
      <c r="H790" s="1">
        <v>0.11</v>
      </c>
      <c r="I790" s="1" t="s">
        <v>35</v>
      </c>
    </row>
    <row r="791" spans="1:9" x14ac:dyDescent="0.3">
      <c r="A791" s="1" t="s">
        <v>820</v>
      </c>
      <c r="B791" s="1" t="s">
        <v>13</v>
      </c>
      <c r="C791" s="2">
        <v>43295</v>
      </c>
      <c r="D791" s="1" t="s">
        <v>14</v>
      </c>
      <c r="E791" s="1">
        <v>21</v>
      </c>
      <c r="F791" s="1">
        <v>40</v>
      </c>
      <c r="G791" s="1">
        <v>840</v>
      </c>
      <c r="H791" s="1">
        <v>0.03</v>
      </c>
      <c r="I791" s="1" t="s">
        <v>18</v>
      </c>
    </row>
    <row r="792" spans="1:9" x14ac:dyDescent="0.3">
      <c r="A792" s="1" t="s">
        <v>821</v>
      </c>
      <c r="B792" s="1" t="s">
        <v>9</v>
      </c>
      <c r="C792" s="2">
        <v>43295</v>
      </c>
      <c r="D792" s="1" t="s">
        <v>32</v>
      </c>
      <c r="E792" s="1">
        <v>22</v>
      </c>
      <c r="F792" s="1">
        <v>150</v>
      </c>
      <c r="G792" s="1">
        <v>3300</v>
      </c>
      <c r="H792" s="1">
        <v>7.0000000000000007E-2</v>
      </c>
      <c r="I792" s="1" t="s">
        <v>35</v>
      </c>
    </row>
    <row r="793" spans="1:9" x14ac:dyDescent="0.3">
      <c r="A793" s="1" t="s">
        <v>822</v>
      </c>
      <c r="B793" s="1" t="s">
        <v>22</v>
      </c>
      <c r="C793" s="2">
        <v>43295</v>
      </c>
      <c r="D793" s="1" t="s">
        <v>14</v>
      </c>
      <c r="E793" s="1">
        <v>20</v>
      </c>
      <c r="F793" s="1">
        <v>40</v>
      </c>
      <c r="G793" s="1">
        <v>800</v>
      </c>
      <c r="H793" s="1">
        <v>0.01</v>
      </c>
      <c r="I793" s="1" t="s">
        <v>18</v>
      </c>
    </row>
    <row r="794" spans="1:9" x14ac:dyDescent="0.3">
      <c r="A794" s="1" t="s">
        <v>823</v>
      </c>
      <c r="B794" s="1" t="s">
        <v>28</v>
      </c>
      <c r="C794" s="2">
        <v>43296</v>
      </c>
      <c r="D794" s="1" t="s">
        <v>29</v>
      </c>
      <c r="E794" s="1">
        <v>22</v>
      </c>
      <c r="F794" s="1">
        <v>16</v>
      </c>
      <c r="G794" s="1">
        <v>352</v>
      </c>
      <c r="H794" s="1">
        <v>0.12</v>
      </c>
      <c r="I794" s="1" t="s">
        <v>35</v>
      </c>
    </row>
    <row r="795" spans="1:9" x14ac:dyDescent="0.3">
      <c r="A795" s="1" t="s">
        <v>824</v>
      </c>
      <c r="B795" s="1" t="s">
        <v>22</v>
      </c>
      <c r="C795" s="2">
        <v>43296</v>
      </c>
      <c r="D795" s="1" t="s">
        <v>14</v>
      </c>
      <c r="E795" s="1">
        <v>4</v>
      </c>
      <c r="F795" s="1">
        <v>40</v>
      </c>
      <c r="G795" s="1">
        <v>160</v>
      </c>
      <c r="H795" s="1">
        <v>0.1</v>
      </c>
      <c r="I795" s="1" t="s">
        <v>18</v>
      </c>
    </row>
    <row r="796" spans="1:9" x14ac:dyDescent="0.3">
      <c r="A796" s="1" t="s">
        <v>825</v>
      </c>
      <c r="B796" s="1" t="s">
        <v>25</v>
      </c>
      <c r="C796" s="2">
        <v>43296</v>
      </c>
      <c r="D796" s="1" t="s">
        <v>17</v>
      </c>
      <c r="E796" s="1">
        <v>2</v>
      </c>
      <c r="F796" s="1">
        <v>230</v>
      </c>
      <c r="G796" s="1">
        <v>460</v>
      </c>
      <c r="H796" s="1">
        <v>0.09</v>
      </c>
      <c r="I796" s="1" t="s">
        <v>35</v>
      </c>
    </row>
    <row r="797" spans="1:9" x14ac:dyDescent="0.3">
      <c r="A797" s="1" t="s">
        <v>826</v>
      </c>
      <c r="B797" s="1" t="s">
        <v>9</v>
      </c>
      <c r="C797" s="2">
        <v>43296</v>
      </c>
      <c r="D797" s="1" t="s">
        <v>14</v>
      </c>
      <c r="E797" s="1">
        <v>22</v>
      </c>
      <c r="F797" s="1">
        <v>40</v>
      </c>
      <c r="G797" s="1">
        <v>880</v>
      </c>
      <c r="H797" s="1">
        <v>0.02</v>
      </c>
      <c r="I797" s="1" t="s">
        <v>18</v>
      </c>
    </row>
    <row r="798" spans="1:9" x14ac:dyDescent="0.3">
      <c r="A798" s="1" t="s">
        <v>827</v>
      </c>
      <c r="B798" s="1" t="s">
        <v>13</v>
      </c>
      <c r="C798" s="2">
        <v>43296</v>
      </c>
      <c r="D798" s="1" t="s">
        <v>14</v>
      </c>
      <c r="E798" s="1">
        <v>4</v>
      </c>
      <c r="F798" s="1">
        <v>40</v>
      </c>
      <c r="G798" s="1">
        <v>160</v>
      </c>
      <c r="H798" s="1">
        <v>0.03</v>
      </c>
      <c r="I798" s="1" t="s">
        <v>35</v>
      </c>
    </row>
    <row r="799" spans="1:9" x14ac:dyDescent="0.3">
      <c r="A799" s="1" t="s">
        <v>828</v>
      </c>
      <c r="B799" s="1" t="s">
        <v>13</v>
      </c>
      <c r="C799" s="2">
        <v>43296</v>
      </c>
      <c r="D799" s="1" t="s">
        <v>29</v>
      </c>
      <c r="E799" s="1">
        <v>5</v>
      </c>
      <c r="F799" s="1">
        <v>16</v>
      </c>
      <c r="G799" s="1">
        <v>80</v>
      </c>
      <c r="H799" s="1">
        <v>0.11</v>
      </c>
      <c r="I799" s="1" t="s">
        <v>18</v>
      </c>
    </row>
    <row r="800" spans="1:9" x14ac:dyDescent="0.3">
      <c r="A800" s="1" t="s">
        <v>829</v>
      </c>
      <c r="B800" s="1" t="s">
        <v>25</v>
      </c>
      <c r="C800" s="2">
        <v>43296</v>
      </c>
      <c r="D800" s="1" t="s">
        <v>10</v>
      </c>
      <c r="E800" s="1">
        <v>2</v>
      </c>
      <c r="F800" s="1">
        <v>80</v>
      </c>
      <c r="G800" s="1">
        <v>160</v>
      </c>
      <c r="H800" s="1">
        <v>0.08</v>
      </c>
      <c r="I800" s="1" t="s">
        <v>35</v>
      </c>
    </row>
    <row r="801" spans="1:9" x14ac:dyDescent="0.3">
      <c r="A801" s="1" t="s">
        <v>830</v>
      </c>
      <c r="B801" s="1" t="s">
        <v>22</v>
      </c>
      <c r="C801" s="2">
        <v>43296</v>
      </c>
      <c r="D801" s="1" t="s">
        <v>29</v>
      </c>
      <c r="E801" s="1">
        <v>9</v>
      </c>
      <c r="F801" s="1">
        <v>16</v>
      </c>
      <c r="G801" s="1">
        <v>144</v>
      </c>
      <c r="H801" s="1">
        <v>0.05</v>
      </c>
      <c r="I801" s="1" t="s">
        <v>18</v>
      </c>
    </row>
    <row r="802" spans="1:9" x14ac:dyDescent="0.3">
      <c r="A802" s="1" t="s">
        <v>831</v>
      </c>
      <c r="B802" s="1" t="s">
        <v>22</v>
      </c>
      <c r="C802" s="2">
        <v>43296</v>
      </c>
      <c r="D802" s="1" t="s">
        <v>17</v>
      </c>
      <c r="E802" s="1">
        <v>6</v>
      </c>
      <c r="F802" s="1">
        <v>230</v>
      </c>
      <c r="G802" s="1">
        <v>1380</v>
      </c>
      <c r="H802" s="1">
        <v>0.05</v>
      </c>
      <c r="I802" s="1" t="s">
        <v>35</v>
      </c>
    </row>
    <row r="803" spans="1:9" x14ac:dyDescent="0.3">
      <c r="A803" s="1" t="s">
        <v>832</v>
      </c>
      <c r="B803" s="1" t="s">
        <v>25</v>
      </c>
      <c r="C803" s="2">
        <v>43296</v>
      </c>
      <c r="D803" s="1" t="s">
        <v>32</v>
      </c>
      <c r="E803" s="1">
        <v>22</v>
      </c>
      <c r="F803" s="1">
        <v>150</v>
      </c>
      <c r="G803" s="1">
        <v>3300</v>
      </c>
      <c r="H803" s="1">
        <v>0.05</v>
      </c>
      <c r="I803" s="1" t="s">
        <v>18</v>
      </c>
    </row>
    <row r="804" spans="1:9" x14ac:dyDescent="0.3">
      <c r="A804" s="1" t="s">
        <v>833</v>
      </c>
      <c r="B804" s="1" t="s">
        <v>25</v>
      </c>
      <c r="C804" s="2">
        <v>43297</v>
      </c>
      <c r="D804" s="1" t="s">
        <v>17</v>
      </c>
      <c r="E804" s="1">
        <v>8</v>
      </c>
      <c r="F804" s="1">
        <v>230</v>
      </c>
      <c r="G804" s="1">
        <v>1840</v>
      </c>
      <c r="H804" s="1">
        <v>0.01</v>
      </c>
      <c r="I804" s="1" t="s">
        <v>35</v>
      </c>
    </row>
    <row r="805" spans="1:9" x14ac:dyDescent="0.3">
      <c r="A805" s="1" t="s">
        <v>834</v>
      </c>
      <c r="B805" s="1" t="s">
        <v>9</v>
      </c>
      <c r="C805" s="2">
        <v>43297</v>
      </c>
      <c r="D805" s="1" t="s">
        <v>32</v>
      </c>
      <c r="E805" s="1">
        <v>22</v>
      </c>
      <c r="F805" s="1">
        <v>150</v>
      </c>
      <c r="G805" s="1">
        <v>3300</v>
      </c>
      <c r="H805" s="1">
        <v>0.05</v>
      </c>
      <c r="I805" s="1" t="s">
        <v>18</v>
      </c>
    </row>
    <row r="806" spans="1:9" x14ac:dyDescent="0.3">
      <c r="A806" s="1" t="s">
        <v>835</v>
      </c>
      <c r="B806" s="1" t="s">
        <v>9</v>
      </c>
      <c r="C806" s="2">
        <v>43297</v>
      </c>
      <c r="D806" s="1" t="s">
        <v>14</v>
      </c>
      <c r="E806" s="1">
        <v>5</v>
      </c>
      <c r="F806" s="1">
        <v>40</v>
      </c>
      <c r="G806" s="1">
        <v>200</v>
      </c>
      <c r="H806" s="1">
        <v>0.06</v>
      </c>
      <c r="I806" s="1" t="s">
        <v>35</v>
      </c>
    </row>
    <row r="807" spans="1:9" x14ac:dyDescent="0.3">
      <c r="A807" s="1" t="s">
        <v>836</v>
      </c>
      <c r="B807" s="1" t="s">
        <v>25</v>
      </c>
      <c r="C807" s="2">
        <v>43297</v>
      </c>
      <c r="D807" s="1" t="s">
        <v>32</v>
      </c>
      <c r="E807" s="1">
        <v>20</v>
      </c>
      <c r="F807" s="1">
        <v>150</v>
      </c>
      <c r="G807" s="1">
        <v>3000</v>
      </c>
      <c r="H807" s="1">
        <v>0.1</v>
      </c>
      <c r="I807" s="1" t="s">
        <v>18</v>
      </c>
    </row>
    <row r="808" spans="1:9" x14ac:dyDescent="0.3">
      <c r="A808" s="1" t="s">
        <v>837</v>
      </c>
      <c r="B808" s="1" t="s">
        <v>25</v>
      </c>
      <c r="C808" s="2">
        <v>43297</v>
      </c>
      <c r="D808" s="1" t="s">
        <v>10</v>
      </c>
      <c r="E808" s="1">
        <v>22</v>
      </c>
      <c r="F808" s="1">
        <v>80</v>
      </c>
      <c r="G808" s="1">
        <v>1760</v>
      </c>
      <c r="H808" s="1">
        <v>0.03</v>
      </c>
      <c r="I808" s="1" t="s">
        <v>35</v>
      </c>
    </row>
    <row r="809" spans="1:9" x14ac:dyDescent="0.3">
      <c r="A809" s="1" t="s">
        <v>838</v>
      </c>
      <c r="B809" s="1" t="s">
        <v>9</v>
      </c>
      <c r="C809" s="2">
        <v>43297</v>
      </c>
      <c r="D809" s="1" t="s">
        <v>29</v>
      </c>
      <c r="E809" s="1">
        <v>11</v>
      </c>
      <c r="F809" s="1">
        <v>16</v>
      </c>
      <c r="G809" s="1">
        <v>176</v>
      </c>
      <c r="H809" s="1">
        <v>0.09</v>
      </c>
      <c r="I809" s="1" t="s">
        <v>18</v>
      </c>
    </row>
    <row r="810" spans="1:9" x14ac:dyDescent="0.3">
      <c r="A810" s="1" t="s">
        <v>839</v>
      </c>
      <c r="B810" s="1" t="s">
        <v>13</v>
      </c>
      <c r="C810" s="2">
        <v>43297</v>
      </c>
      <c r="D810" s="1" t="s">
        <v>29</v>
      </c>
      <c r="E810" s="1">
        <v>22</v>
      </c>
      <c r="F810" s="1">
        <v>16</v>
      </c>
      <c r="G810" s="1">
        <v>352</v>
      </c>
      <c r="H810" s="1">
        <v>0.01</v>
      </c>
      <c r="I810" s="1" t="s">
        <v>35</v>
      </c>
    </row>
    <row r="811" spans="1:9" x14ac:dyDescent="0.3">
      <c r="A811" s="1" t="s">
        <v>840</v>
      </c>
      <c r="B811" s="1" t="s">
        <v>13</v>
      </c>
      <c r="C811" s="2">
        <v>43297</v>
      </c>
      <c r="D811" s="1" t="s">
        <v>14</v>
      </c>
      <c r="E811" s="1">
        <v>23</v>
      </c>
      <c r="F811" s="1">
        <v>40</v>
      </c>
      <c r="G811" s="1">
        <v>920</v>
      </c>
      <c r="H811" s="1">
        <v>0.06</v>
      </c>
      <c r="I811" s="1" t="s">
        <v>18</v>
      </c>
    </row>
    <row r="812" spans="1:9" x14ac:dyDescent="0.3">
      <c r="A812" s="1" t="s">
        <v>841</v>
      </c>
      <c r="B812" s="1" t="s">
        <v>22</v>
      </c>
      <c r="C812" s="2">
        <v>43297</v>
      </c>
      <c r="D812" s="1" t="s">
        <v>10</v>
      </c>
      <c r="E812" s="1">
        <v>14</v>
      </c>
      <c r="F812" s="1">
        <v>80</v>
      </c>
      <c r="G812" s="1">
        <v>1120</v>
      </c>
      <c r="H812" s="1">
        <v>0.1</v>
      </c>
      <c r="I812" s="1" t="s">
        <v>35</v>
      </c>
    </row>
    <row r="813" spans="1:9" x14ac:dyDescent="0.3">
      <c r="A813" s="1" t="s">
        <v>842</v>
      </c>
      <c r="B813" s="1" t="s">
        <v>9</v>
      </c>
      <c r="C813" s="2">
        <v>43297</v>
      </c>
      <c r="D813" s="1" t="s">
        <v>14</v>
      </c>
      <c r="E813" s="1">
        <v>18</v>
      </c>
      <c r="F813" s="1">
        <v>40</v>
      </c>
      <c r="G813" s="1">
        <v>720</v>
      </c>
      <c r="H813" s="1">
        <v>0.06</v>
      </c>
      <c r="I813" s="1" t="s">
        <v>18</v>
      </c>
    </row>
    <row r="814" spans="1:9" x14ac:dyDescent="0.3">
      <c r="A814" s="1" t="s">
        <v>843</v>
      </c>
      <c r="B814" s="1" t="s">
        <v>25</v>
      </c>
      <c r="C814" s="2">
        <v>43298</v>
      </c>
      <c r="D814" s="1" t="s">
        <v>32</v>
      </c>
      <c r="E814" s="1">
        <v>7</v>
      </c>
      <c r="F814" s="1">
        <v>150</v>
      </c>
      <c r="G814" s="1">
        <v>1050</v>
      </c>
      <c r="H814" s="1">
        <v>0.05</v>
      </c>
      <c r="I814" s="1" t="s">
        <v>15</v>
      </c>
    </row>
    <row r="815" spans="1:9" x14ac:dyDescent="0.3">
      <c r="A815" s="1" t="s">
        <v>844</v>
      </c>
      <c r="B815" s="1" t="s">
        <v>25</v>
      </c>
      <c r="C815" s="2">
        <v>43298</v>
      </c>
      <c r="D815" s="1" t="s">
        <v>14</v>
      </c>
      <c r="E815" s="1">
        <v>15</v>
      </c>
      <c r="F815" s="1">
        <v>40</v>
      </c>
      <c r="G815" s="1">
        <v>600</v>
      </c>
      <c r="H815" s="1">
        <v>0.03</v>
      </c>
      <c r="I815" s="1" t="s">
        <v>18</v>
      </c>
    </row>
    <row r="816" spans="1:9" x14ac:dyDescent="0.3">
      <c r="A816" s="1" t="s">
        <v>845</v>
      </c>
      <c r="B816" s="1" t="s">
        <v>9</v>
      </c>
      <c r="C816" s="2">
        <v>43298</v>
      </c>
      <c r="D816" s="1" t="s">
        <v>29</v>
      </c>
      <c r="E816" s="1">
        <v>7</v>
      </c>
      <c r="F816" s="1">
        <v>16</v>
      </c>
      <c r="G816" s="1">
        <v>112</v>
      </c>
      <c r="H816" s="1">
        <v>0.02</v>
      </c>
      <c r="I816" s="1" t="s">
        <v>46</v>
      </c>
    </row>
    <row r="817" spans="1:9" x14ac:dyDescent="0.3">
      <c r="A817" s="1" t="s">
        <v>846</v>
      </c>
      <c r="B817" s="1" t="s">
        <v>25</v>
      </c>
      <c r="C817" s="2">
        <v>43298</v>
      </c>
      <c r="D817" s="1" t="s">
        <v>29</v>
      </c>
      <c r="E817" s="1">
        <v>15</v>
      </c>
      <c r="F817" s="1">
        <v>16</v>
      </c>
      <c r="G817" s="1">
        <v>240</v>
      </c>
      <c r="H817" s="1">
        <v>0.12</v>
      </c>
      <c r="I817" s="1" t="s">
        <v>23</v>
      </c>
    </row>
    <row r="818" spans="1:9" x14ac:dyDescent="0.3">
      <c r="A818" s="1" t="s">
        <v>847</v>
      </c>
      <c r="B818" s="1" t="s">
        <v>9</v>
      </c>
      <c r="C818" s="2">
        <v>43298</v>
      </c>
      <c r="D818" s="1" t="s">
        <v>14</v>
      </c>
      <c r="E818" s="1">
        <v>5</v>
      </c>
      <c r="F818" s="1">
        <v>40</v>
      </c>
      <c r="G818" s="1">
        <v>200</v>
      </c>
      <c r="H818" s="1">
        <v>0.09</v>
      </c>
      <c r="I818" s="1" t="s">
        <v>26</v>
      </c>
    </row>
    <row r="819" spans="1:9" x14ac:dyDescent="0.3">
      <c r="A819" s="1" t="s">
        <v>848</v>
      </c>
      <c r="B819" s="1" t="s">
        <v>28</v>
      </c>
      <c r="C819" s="2">
        <v>43298</v>
      </c>
      <c r="D819" s="1" t="s">
        <v>14</v>
      </c>
      <c r="E819" s="1">
        <v>20</v>
      </c>
      <c r="F819" s="1">
        <v>40</v>
      </c>
      <c r="G819" s="1">
        <v>800</v>
      </c>
      <c r="H819" s="1">
        <v>0.03</v>
      </c>
      <c r="I819" s="1" t="s">
        <v>30</v>
      </c>
    </row>
    <row r="820" spans="1:9" x14ac:dyDescent="0.3">
      <c r="A820" s="1" t="s">
        <v>849</v>
      </c>
      <c r="B820" s="1" t="s">
        <v>25</v>
      </c>
      <c r="C820" s="2">
        <v>43298</v>
      </c>
      <c r="D820" s="1" t="s">
        <v>17</v>
      </c>
      <c r="E820" s="1">
        <v>11</v>
      </c>
      <c r="F820" s="1">
        <v>230</v>
      </c>
      <c r="G820" s="1">
        <v>2530</v>
      </c>
      <c r="H820" s="1">
        <v>0.12</v>
      </c>
      <c r="I820" s="1" t="s">
        <v>33</v>
      </c>
    </row>
    <row r="821" spans="1:9" x14ac:dyDescent="0.3">
      <c r="A821" s="1" t="s">
        <v>850</v>
      </c>
      <c r="B821" s="1" t="s">
        <v>28</v>
      </c>
      <c r="C821" s="2">
        <v>43298</v>
      </c>
      <c r="D821" s="1" t="s">
        <v>29</v>
      </c>
      <c r="E821" s="1">
        <v>17</v>
      </c>
      <c r="F821" s="1">
        <v>16</v>
      </c>
      <c r="G821" s="1">
        <v>272</v>
      </c>
      <c r="H821" s="1">
        <v>0.08</v>
      </c>
      <c r="I821" s="1" t="s">
        <v>35</v>
      </c>
    </row>
    <row r="822" spans="1:9" x14ac:dyDescent="0.3">
      <c r="A822" s="1" t="s">
        <v>851</v>
      </c>
      <c r="B822" s="1" t="s">
        <v>9</v>
      </c>
      <c r="C822" s="2">
        <v>43299</v>
      </c>
      <c r="D822" s="1" t="s">
        <v>29</v>
      </c>
      <c r="E822" s="1">
        <v>18</v>
      </c>
      <c r="F822" s="1">
        <v>16</v>
      </c>
      <c r="G822" s="1">
        <v>288</v>
      </c>
      <c r="H822" s="1">
        <v>0.11</v>
      </c>
      <c r="I822" s="1" t="s">
        <v>37</v>
      </c>
    </row>
    <row r="823" spans="1:9" x14ac:dyDescent="0.3">
      <c r="A823" s="1" t="s">
        <v>852</v>
      </c>
      <c r="B823" s="1" t="s">
        <v>25</v>
      </c>
      <c r="C823" s="2">
        <v>43299</v>
      </c>
      <c r="D823" s="1" t="s">
        <v>17</v>
      </c>
      <c r="E823" s="1">
        <v>2</v>
      </c>
      <c r="F823" s="1">
        <v>230</v>
      </c>
      <c r="G823" s="1">
        <v>460</v>
      </c>
      <c r="H823" s="1">
        <v>0.08</v>
      </c>
      <c r="I823" s="1" t="s">
        <v>39</v>
      </c>
    </row>
    <row r="824" spans="1:9" x14ac:dyDescent="0.3">
      <c r="A824" s="1" t="s">
        <v>853</v>
      </c>
      <c r="B824" s="1" t="s">
        <v>22</v>
      </c>
      <c r="C824" s="2">
        <v>43299</v>
      </c>
      <c r="D824" s="1" t="s">
        <v>29</v>
      </c>
      <c r="E824" s="1">
        <v>17</v>
      </c>
      <c r="F824" s="1">
        <v>16</v>
      </c>
      <c r="G824" s="1">
        <v>272</v>
      </c>
      <c r="H824" s="1">
        <v>0.05</v>
      </c>
      <c r="I824" s="1" t="s">
        <v>41</v>
      </c>
    </row>
    <row r="825" spans="1:9" x14ac:dyDescent="0.3">
      <c r="A825" s="1" t="s">
        <v>854</v>
      </c>
      <c r="B825" s="1" t="s">
        <v>25</v>
      </c>
      <c r="C825" s="2">
        <v>43299</v>
      </c>
      <c r="D825" s="1" t="s">
        <v>10</v>
      </c>
      <c r="E825" s="1">
        <v>16</v>
      </c>
      <c r="F825" s="1">
        <v>80</v>
      </c>
      <c r="G825" s="1">
        <v>1280</v>
      </c>
      <c r="H825" s="1">
        <v>0.05</v>
      </c>
      <c r="I825" s="1" t="s">
        <v>11</v>
      </c>
    </row>
    <row r="826" spans="1:9" x14ac:dyDescent="0.3">
      <c r="A826" s="1" t="s">
        <v>855</v>
      </c>
      <c r="B826" s="1" t="s">
        <v>13</v>
      </c>
      <c r="C826" s="2">
        <v>43299</v>
      </c>
      <c r="D826" s="1" t="s">
        <v>17</v>
      </c>
      <c r="E826" s="1">
        <v>14</v>
      </c>
      <c r="F826" s="1">
        <v>230</v>
      </c>
      <c r="G826" s="1">
        <v>3220</v>
      </c>
      <c r="H826" s="1">
        <v>0.05</v>
      </c>
      <c r="I826" s="1" t="s">
        <v>15</v>
      </c>
    </row>
    <row r="827" spans="1:9" x14ac:dyDescent="0.3">
      <c r="A827" s="1" t="s">
        <v>856</v>
      </c>
      <c r="B827" s="1" t="s">
        <v>22</v>
      </c>
      <c r="C827" s="2">
        <v>43299</v>
      </c>
      <c r="D827" s="1" t="s">
        <v>14</v>
      </c>
      <c r="E827" s="1">
        <v>13</v>
      </c>
      <c r="F827" s="1">
        <v>40</v>
      </c>
      <c r="G827" s="1">
        <v>520</v>
      </c>
      <c r="H827" s="1">
        <v>0.02</v>
      </c>
      <c r="I827" s="1" t="s">
        <v>18</v>
      </c>
    </row>
    <row r="828" spans="1:9" x14ac:dyDescent="0.3">
      <c r="A828" s="1" t="s">
        <v>857</v>
      </c>
      <c r="B828" s="1" t="s">
        <v>13</v>
      </c>
      <c r="C828" s="2">
        <v>43299</v>
      </c>
      <c r="D828" s="1" t="s">
        <v>17</v>
      </c>
      <c r="E828" s="1">
        <v>7</v>
      </c>
      <c r="F828" s="1">
        <v>230</v>
      </c>
      <c r="G828" s="1">
        <v>1610</v>
      </c>
      <c r="H828" s="1">
        <v>0.08</v>
      </c>
      <c r="I828" s="1" t="s">
        <v>46</v>
      </c>
    </row>
    <row r="829" spans="1:9" x14ac:dyDescent="0.3">
      <c r="A829" s="1" t="s">
        <v>858</v>
      </c>
      <c r="B829" s="1" t="s">
        <v>25</v>
      </c>
      <c r="C829" s="2">
        <v>43299</v>
      </c>
      <c r="D829" s="1" t="s">
        <v>14</v>
      </c>
      <c r="E829" s="1">
        <v>7</v>
      </c>
      <c r="F829" s="1">
        <v>40</v>
      </c>
      <c r="G829" s="1">
        <v>280</v>
      </c>
      <c r="H829" s="1">
        <v>0.11</v>
      </c>
      <c r="I829" s="1" t="s">
        <v>23</v>
      </c>
    </row>
    <row r="830" spans="1:9" x14ac:dyDescent="0.3">
      <c r="A830" s="1" t="s">
        <v>859</v>
      </c>
      <c r="B830" s="1" t="s">
        <v>22</v>
      </c>
      <c r="C830" s="2">
        <v>43299</v>
      </c>
      <c r="D830" s="1" t="s">
        <v>17</v>
      </c>
      <c r="E830" s="1">
        <v>12</v>
      </c>
      <c r="F830" s="1">
        <v>230</v>
      </c>
      <c r="G830" s="1">
        <v>2760</v>
      </c>
      <c r="H830" s="1">
        <v>0.06</v>
      </c>
      <c r="I830" s="1" t="s">
        <v>26</v>
      </c>
    </row>
    <row r="831" spans="1:9" x14ac:dyDescent="0.3">
      <c r="A831" s="1" t="s">
        <v>860</v>
      </c>
      <c r="B831" s="1" t="s">
        <v>9</v>
      </c>
      <c r="C831" s="2">
        <v>43299</v>
      </c>
      <c r="D831" s="1" t="s">
        <v>14</v>
      </c>
      <c r="E831" s="1">
        <v>19</v>
      </c>
      <c r="F831" s="1">
        <v>40</v>
      </c>
      <c r="G831" s="1">
        <v>760</v>
      </c>
      <c r="H831" s="1">
        <v>0.04</v>
      </c>
      <c r="I831" s="1" t="s">
        <v>15</v>
      </c>
    </row>
    <row r="832" spans="1:9" x14ac:dyDescent="0.3">
      <c r="A832" s="1" t="s">
        <v>861</v>
      </c>
      <c r="B832" s="1" t="s">
        <v>22</v>
      </c>
      <c r="C832" s="2">
        <v>43300</v>
      </c>
      <c r="D832" s="1" t="s">
        <v>17</v>
      </c>
      <c r="E832" s="1">
        <v>20</v>
      </c>
      <c r="F832" s="1">
        <v>230</v>
      </c>
      <c r="G832" s="1">
        <v>4600</v>
      </c>
      <c r="H832" s="1">
        <v>0.06</v>
      </c>
      <c r="I832" s="1" t="s">
        <v>18</v>
      </c>
    </row>
    <row r="833" spans="1:9" x14ac:dyDescent="0.3">
      <c r="A833" s="1" t="s">
        <v>862</v>
      </c>
      <c r="B833" s="1" t="s">
        <v>28</v>
      </c>
      <c r="C833" s="2">
        <v>43300</v>
      </c>
      <c r="D833" s="1" t="s">
        <v>14</v>
      </c>
      <c r="E833" s="1">
        <v>23</v>
      </c>
      <c r="F833" s="1">
        <v>40</v>
      </c>
      <c r="G833" s="1">
        <v>920</v>
      </c>
      <c r="H833" s="1">
        <v>0.04</v>
      </c>
      <c r="I833" s="1" t="s">
        <v>46</v>
      </c>
    </row>
    <row r="834" spans="1:9" x14ac:dyDescent="0.3">
      <c r="A834" s="1" t="s">
        <v>863</v>
      </c>
      <c r="B834" s="1" t="s">
        <v>28</v>
      </c>
      <c r="C834" s="2">
        <v>43300</v>
      </c>
      <c r="D834" s="1" t="s">
        <v>10</v>
      </c>
      <c r="E834" s="1">
        <v>16</v>
      </c>
      <c r="F834" s="1">
        <v>80</v>
      </c>
      <c r="G834" s="1">
        <v>1280</v>
      </c>
      <c r="H834" s="1">
        <v>0.05</v>
      </c>
      <c r="I834" s="1" t="s">
        <v>23</v>
      </c>
    </row>
    <row r="835" spans="1:9" x14ac:dyDescent="0.3">
      <c r="A835" s="1" t="s">
        <v>864</v>
      </c>
      <c r="B835" s="1" t="s">
        <v>13</v>
      </c>
      <c r="C835" s="2">
        <v>43300</v>
      </c>
      <c r="D835" s="1" t="s">
        <v>32</v>
      </c>
      <c r="E835" s="1">
        <v>23</v>
      </c>
      <c r="F835" s="1">
        <v>150</v>
      </c>
      <c r="G835" s="1">
        <v>3450</v>
      </c>
      <c r="H835" s="1">
        <v>0.11</v>
      </c>
      <c r="I835" s="1" t="s">
        <v>26</v>
      </c>
    </row>
    <row r="836" spans="1:9" x14ac:dyDescent="0.3">
      <c r="A836" s="1" t="s">
        <v>865</v>
      </c>
      <c r="B836" s="1" t="s">
        <v>13</v>
      </c>
      <c r="C836" s="2">
        <v>43300</v>
      </c>
      <c r="D836" s="1" t="s">
        <v>29</v>
      </c>
      <c r="E836" s="1">
        <v>4</v>
      </c>
      <c r="F836" s="1">
        <v>16</v>
      </c>
      <c r="G836" s="1">
        <v>64</v>
      </c>
      <c r="H836" s="1">
        <v>7.0000000000000007E-2</v>
      </c>
      <c r="I836" s="1" t="s">
        <v>30</v>
      </c>
    </row>
    <row r="837" spans="1:9" x14ac:dyDescent="0.3">
      <c r="A837" s="1" t="s">
        <v>866</v>
      </c>
      <c r="B837" s="1" t="s">
        <v>9</v>
      </c>
      <c r="C837" s="2">
        <v>43300</v>
      </c>
      <c r="D837" s="1" t="s">
        <v>17</v>
      </c>
      <c r="E837" s="1">
        <v>8</v>
      </c>
      <c r="F837" s="1">
        <v>230</v>
      </c>
      <c r="G837" s="1">
        <v>1840</v>
      </c>
      <c r="H837" s="1">
        <v>0.03</v>
      </c>
      <c r="I837" s="1" t="s">
        <v>33</v>
      </c>
    </row>
    <row r="838" spans="1:9" x14ac:dyDescent="0.3">
      <c r="A838" s="1" t="s">
        <v>867</v>
      </c>
      <c r="B838" s="1" t="s">
        <v>13</v>
      </c>
      <c r="C838" s="2">
        <v>43300</v>
      </c>
      <c r="D838" s="1" t="s">
        <v>10</v>
      </c>
      <c r="E838" s="1">
        <v>17</v>
      </c>
      <c r="F838" s="1">
        <v>80</v>
      </c>
      <c r="G838" s="1">
        <v>1360</v>
      </c>
      <c r="H838" s="1">
        <v>0.03</v>
      </c>
      <c r="I838" s="1" t="s">
        <v>35</v>
      </c>
    </row>
    <row r="839" spans="1:9" x14ac:dyDescent="0.3">
      <c r="A839" s="1" t="s">
        <v>868</v>
      </c>
      <c r="B839" s="1" t="s">
        <v>25</v>
      </c>
      <c r="C839" s="2">
        <v>43300</v>
      </c>
      <c r="D839" s="1" t="s">
        <v>10</v>
      </c>
      <c r="E839" s="1">
        <v>10</v>
      </c>
      <c r="F839" s="1">
        <v>80</v>
      </c>
      <c r="G839" s="1">
        <v>800</v>
      </c>
      <c r="H839" s="1">
        <v>0.1</v>
      </c>
      <c r="I839" s="1" t="s">
        <v>37</v>
      </c>
    </row>
    <row r="840" spans="1:9" x14ac:dyDescent="0.3">
      <c r="A840" s="1" t="s">
        <v>869</v>
      </c>
      <c r="B840" s="1" t="s">
        <v>9</v>
      </c>
      <c r="C840" s="2">
        <v>43300</v>
      </c>
      <c r="D840" s="1" t="s">
        <v>29</v>
      </c>
      <c r="E840" s="1">
        <v>20</v>
      </c>
      <c r="F840" s="1">
        <v>16</v>
      </c>
      <c r="G840" s="1">
        <v>320</v>
      </c>
      <c r="H840" s="1">
        <v>0.11</v>
      </c>
      <c r="I840" s="1" t="s">
        <v>39</v>
      </c>
    </row>
    <row r="841" spans="1:9" x14ac:dyDescent="0.3">
      <c r="A841" s="1" t="s">
        <v>870</v>
      </c>
      <c r="B841" s="1" t="s">
        <v>25</v>
      </c>
      <c r="C841" s="2">
        <v>43301</v>
      </c>
      <c r="D841" s="1" t="s">
        <v>17</v>
      </c>
      <c r="E841" s="1">
        <v>19</v>
      </c>
      <c r="F841" s="1">
        <v>230</v>
      </c>
      <c r="G841" s="1">
        <v>4370</v>
      </c>
      <c r="H841" s="1">
        <v>0.06</v>
      </c>
      <c r="I841" s="1" t="s">
        <v>41</v>
      </c>
    </row>
    <row r="842" spans="1:9" x14ac:dyDescent="0.3">
      <c r="A842" s="1" t="s">
        <v>871</v>
      </c>
      <c r="B842" s="1" t="s">
        <v>22</v>
      </c>
      <c r="C842" s="2">
        <v>43301</v>
      </c>
      <c r="D842" s="1" t="s">
        <v>14</v>
      </c>
      <c r="E842" s="1">
        <v>18</v>
      </c>
      <c r="F842" s="1">
        <v>40</v>
      </c>
      <c r="G842" s="1">
        <v>720</v>
      </c>
      <c r="H842" s="1">
        <v>0.03</v>
      </c>
      <c r="I842" s="1" t="s">
        <v>11</v>
      </c>
    </row>
    <row r="843" spans="1:9" x14ac:dyDescent="0.3">
      <c r="A843" s="1" t="s">
        <v>872</v>
      </c>
      <c r="B843" s="1" t="s">
        <v>13</v>
      </c>
      <c r="C843" s="2">
        <v>43301</v>
      </c>
      <c r="D843" s="1" t="s">
        <v>10</v>
      </c>
      <c r="E843" s="1">
        <v>16</v>
      </c>
      <c r="F843" s="1">
        <v>80</v>
      </c>
      <c r="G843" s="1">
        <v>1280</v>
      </c>
      <c r="H843" s="1">
        <v>0.04</v>
      </c>
      <c r="I843" s="1" t="s">
        <v>15</v>
      </c>
    </row>
    <row r="844" spans="1:9" x14ac:dyDescent="0.3">
      <c r="A844" s="1" t="s">
        <v>873</v>
      </c>
      <c r="B844" s="1" t="s">
        <v>25</v>
      </c>
      <c r="C844" s="2">
        <v>43301</v>
      </c>
      <c r="D844" s="1" t="s">
        <v>10</v>
      </c>
      <c r="E844" s="1">
        <v>8</v>
      </c>
      <c r="F844" s="1">
        <v>80</v>
      </c>
      <c r="G844" s="1">
        <v>640</v>
      </c>
      <c r="H844" s="1">
        <v>0.06</v>
      </c>
      <c r="I844" s="1" t="s">
        <v>18</v>
      </c>
    </row>
    <row r="845" spans="1:9" x14ac:dyDescent="0.3">
      <c r="A845" s="1" t="s">
        <v>874</v>
      </c>
      <c r="B845" s="1" t="s">
        <v>25</v>
      </c>
      <c r="C845" s="2">
        <v>43301</v>
      </c>
      <c r="D845" s="1" t="s">
        <v>32</v>
      </c>
      <c r="E845" s="1">
        <v>4</v>
      </c>
      <c r="F845" s="1">
        <v>150</v>
      </c>
      <c r="G845" s="1">
        <v>600</v>
      </c>
      <c r="H845" s="1">
        <v>0.12</v>
      </c>
      <c r="I845" s="1" t="s">
        <v>46</v>
      </c>
    </row>
    <row r="846" spans="1:9" x14ac:dyDescent="0.3">
      <c r="A846" s="1" t="s">
        <v>875</v>
      </c>
      <c r="B846" s="1" t="s">
        <v>22</v>
      </c>
      <c r="C846" s="2">
        <v>43301</v>
      </c>
      <c r="D846" s="1" t="s">
        <v>17</v>
      </c>
      <c r="E846" s="1">
        <v>15</v>
      </c>
      <c r="F846" s="1">
        <v>230</v>
      </c>
      <c r="G846" s="1">
        <v>3450</v>
      </c>
      <c r="H846" s="1">
        <v>0.04</v>
      </c>
      <c r="I846" s="1" t="s">
        <v>23</v>
      </c>
    </row>
    <row r="847" spans="1:9" x14ac:dyDescent="0.3">
      <c r="A847" s="1" t="s">
        <v>876</v>
      </c>
      <c r="B847" s="1" t="s">
        <v>13</v>
      </c>
      <c r="C847" s="2">
        <v>43302</v>
      </c>
      <c r="D847" s="1" t="s">
        <v>29</v>
      </c>
      <c r="E847" s="1">
        <v>7</v>
      </c>
      <c r="F847" s="1">
        <v>16</v>
      </c>
      <c r="G847" s="1">
        <v>112</v>
      </c>
      <c r="H847" s="1">
        <v>0.08</v>
      </c>
      <c r="I847" s="1" t="s">
        <v>26</v>
      </c>
    </row>
    <row r="848" spans="1:9" x14ac:dyDescent="0.3">
      <c r="A848" s="1" t="s">
        <v>877</v>
      </c>
      <c r="B848" s="1" t="s">
        <v>9</v>
      </c>
      <c r="C848" s="2">
        <v>43302</v>
      </c>
      <c r="D848" s="1" t="s">
        <v>14</v>
      </c>
      <c r="E848" s="1">
        <v>18</v>
      </c>
      <c r="F848" s="1">
        <v>40</v>
      </c>
      <c r="G848" s="1">
        <v>720</v>
      </c>
      <c r="H848" s="1">
        <v>0.11</v>
      </c>
      <c r="I848" s="1" t="s">
        <v>15</v>
      </c>
    </row>
    <row r="849" spans="1:9" x14ac:dyDescent="0.3">
      <c r="A849" s="1" t="s">
        <v>878</v>
      </c>
      <c r="B849" s="1" t="s">
        <v>22</v>
      </c>
      <c r="C849" s="2">
        <v>43302</v>
      </c>
      <c r="D849" s="1" t="s">
        <v>14</v>
      </c>
      <c r="E849" s="1">
        <v>4</v>
      </c>
      <c r="F849" s="1">
        <v>40</v>
      </c>
      <c r="G849" s="1">
        <v>160</v>
      </c>
      <c r="H849" s="1">
        <v>0.06</v>
      </c>
      <c r="I849" s="1" t="s">
        <v>18</v>
      </c>
    </row>
    <row r="850" spans="1:9" x14ac:dyDescent="0.3">
      <c r="A850" s="1" t="s">
        <v>879</v>
      </c>
      <c r="B850" s="1" t="s">
        <v>28</v>
      </c>
      <c r="C850" s="2">
        <v>43302</v>
      </c>
      <c r="D850" s="1" t="s">
        <v>14</v>
      </c>
      <c r="E850" s="1">
        <v>16</v>
      </c>
      <c r="F850" s="1">
        <v>40</v>
      </c>
      <c r="G850" s="1">
        <v>640</v>
      </c>
      <c r="H850" s="1">
        <v>0.09</v>
      </c>
      <c r="I850" s="1" t="s">
        <v>46</v>
      </c>
    </row>
    <row r="851" spans="1:9" x14ac:dyDescent="0.3">
      <c r="A851" s="1" t="s">
        <v>880</v>
      </c>
      <c r="B851" s="1" t="s">
        <v>13</v>
      </c>
      <c r="C851" s="2">
        <v>43302</v>
      </c>
      <c r="D851" s="1" t="s">
        <v>14</v>
      </c>
      <c r="E851" s="1">
        <v>18</v>
      </c>
      <c r="F851" s="1">
        <v>40</v>
      </c>
      <c r="G851" s="1">
        <v>720</v>
      </c>
      <c r="H851" s="1">
        <v>0.08</v>
      </c>
      <c r="I851" s="1" t="s">
        <v>23</v>
      </c>
    </row>
    <row r="852" spans="1:9" x14ac:dyDescent="0.3">
      <c r="A852" s="1" t="s">
        <v>881</v>
      </c>
      <c r="B852" s="1" t="s">
        <v>9</v>
      </c>
      <c r="C852" s="2">
        <v>43302</v>
      </c>
      <c r="D852" s="1" t="s">
        <v>14</v>
      </c>
      <c r="E852" s="1">
        <v>9</v>
      </c>
      <c r="F852" s="1">
        <v>40</v>
      </c>
      <c r="G852" s="1">
        <v>360</v>
      </c>
      <c r="H852" s="1">
        <v>0.01</v>
      </c>
      <c r="I852" s="1" t="s">
        <v>26</v>
      </c>
    </row>
    <row r="853" spans="1:9" x14ac:dyDescent="0.3">
      <c r="A853" s="1" t="s">
        <v>882</v>
      </c>
      <c r="B853" s="1" t="s">
        <v>25</v>
      </c>
      <c r="C853" s="2">
        <v>43302</v>
      </c>
      <c r="D853" s="1" t="s">
        <v>17</v>
      </c>
      <c r="E853" s="1">
        <v>16</v>
      </c>
      <c r="F853" s="1">
        <v>230</v>
      </c>
      <c r="G853" s="1">
        <v>3680</v>
      </c>
      <c r="H853" s="1">
        <v>0.11</v>
      </c>
      <c r="I853" s="1" t="s">
        <v>30</v>
      </c>
    </row>
    <row r="854" spans="1:9" x14ac:dyDescent="0.3">
      <c r="A854" s="1" t="s">
        <v>883</v>
      </c>
      <c r="B854" s="1" t="s">
        <v>22</v>
      </c>
      <c r="C854" s="2">
        <v>43302</v>
      </c>
      <c r="D854" s="1" t="s">
        <v>29</v>
      </c>
      <c r="E854" s="1">
        <v>12</v>
      </c>
      <c r="F854" s="1">
        <v>16</v>
      </c>
      <c r="G854" s="1">
        <v>192</v>
      </c>
      <c r="H854" s="1">
        <v>0.11</v>
      </c>
      <c r="I854" s="1" t="s">
        <v>33</v>
      </c>
    </row>
    <row r="855" spans="1:9" x14ac:dyDescent="0.3">
      <c r="A855" s="1" t="s">
        <v>884</v>
      </c>
      <c r="B855" s="1" t="s">
        <v>13</v>
      </c>
      <c r="C855" s="2">
        <v>43302</v>
      </c>
      <c r="D855" s="1" t="s">
        <v>10</v>
      </c>
      <c r="E855" s="1">
        <v>2</v>
      </c>
      <c r="F855" s="1">
        <v>80</v>
      </c>
      <c r="G855" s="1">
        <v>160</v>
      </c>
      <c r="H855" s="1">
        <v>7.0000000000000007E-2</v>
      </c>
      <c r="I855" s="1" t="s">
        <v>35</v>
      </c>
    </row>
    <row r="856" spans="1:9" x14ac:dyDescent="0.3">
      <c r="A856" s="1" t="s">
        <v>885</v>
      </c>
      <c r="B856" s="1" t="s">
        <v>9</v>
      </c>
      <c r="C856" s="2">
        <v>43302</v>
      </c>
      <c r="D856" s="1" t="s">
        <v>14</v>
      </c>
      <c r="E856" s="1">
        <v>2</v>
      </c>
      <c r="F856" s="1">
        <v>40</v>
      </c>
      <c r="G856" s="1">
        <v>80</v>
      </c>
      <c r="H856" s="1">
        <v>0.12</v>
      </c>
      <c r="I856" s="1" t="s">
        <v>37</v>
      </c>
    </row>
    <row r="857" spans="1:9" x14ac:dyDescent="0.3">
      <c r="A857" s="1" t="s">
        <v>886</v>
      </c>
      <c r="B857" s="1" t="s">
        <v>9</v>
      </c>
      <c r="C857" s="2">
        <v>43303</v>
      </c>
      <c r="D857" s="1" t="s">
        <v>32</v>
      </c>
      <c r="E857" s="1">
        <v>13</v>
      </c>
      <c r="F857" s="1">
        <v>150</v>
      </c>
      <c r="G857" s="1">
        <v>1950</v>
      </c>
      <c r="H857" s="1">
        <v>0.05</v>
      </c>
      <c r="I857" s="1" t="s">
        <v>39</v>
      </c>
    </row>
    <row r="858" spans="1:9" x14ac:dyDescent="0.3">
      <c r="A858" s="1" t="s">
        <v>887</v>
      </c>
      <c r="B858" s="1" t="s">
        <v>9</v>
      </c>
      <c r="C858" s="2">
        <v>43303</v>
      </c>
      <c r="D858" s="1" t="s">
        <v>10</v>
      </c>
      <c r="E858" s="1">
        <v>14</v>
      </c>
      <c r="F858" s="1">
        <v>80</v>
      </c>
      <c r="G858" s="1">
        <v>1120</v>
      </c>
      <c r="H858" s="1">
        <v>0.08</v>
      </c>
      <c r="I858" s="1" t="s">
        <v>41</v>
      </c>
    </row>
    <row r="859" spans="1:9" x14ac:dyDescent="0.3">
      <c r="A859" s="1" t="s">
        <v>888</v>
      </c>
      <c r="B859" s="1" t="s">
        <v>25</v>
      </c>
      <c r="C859" s="2">
        <v>43303</v>
      </c>
      <c r="D859" s="1" t="s">
        <v>32</v>
      </c>
      <c r="E859" s="1">
        <v>6</v>
      </c>
      <c r="F859" s="1">
        <v>150</v>
      </c>
      <c r="G859" s="1">
        <v>900</v>
      </c>
      <c r="H859" s="1">
        <v>0.03</v>
      </c>
      <c r="I859" s="1" t="s">
        <v>11</v>
      </c>
    </row>
    <row r="860" spans="1:9" x14ac:dyDescent="0.3">
      <c r="A860" s="1" t="s">
        <v>889</v>
      </c>
      <c r="B860" s="1" t="s">
        <v>25</v>
      </c>
      <c r="C860" s="2">
        <v>43303</v>
      </c>
      <c r="D860" s="1" t="s">
        <v>10</v>
      </c>
      <c r="E860" s="1">
        <v>23</v>
      </c>
      <c r="F860" s="1">
        <v>80</v>
      </c>
      <c r="G860" s="1">
        <v>1840</v>
      </c>
      <c r="H860" s="1">
        <v>0.11</v>
      </c>
      <c r="I860" s="1" t="s">
        <v>15</v>
      </c>
    </row>
    <row r="861" spans="1:9" x14ac:dyDescent="0.3">
      <c r="A861" s="1" t="s">
        <v>890</v>
      </c>
      <c r="B861" s="1" t="s">
        <v>25</v>
      </c>
      <c r="C861" s="2">
        <v>43303</v>
      </c>
      <c r="D861" s="1" t="s">
        <v>10</v>
      </c>
      <c r="E861" s="1">
        <v>21</v>
      </c>
      <c r="F861" s="1">
        <v>80</v>
      </c>
      <c r="G861" s="1">
        <v>1680</v>
      </c>
      <c r="H861" s="1">
        <v>0.05</v>
      </c>
      <c r="I861" s="1" t="s">
        <v>18</v>
      </c>
    </row>
    <row r="862" spans="1:9" x14ac:dyDescent="0.3">
      <c r="A862" s="1" t="s">
        <v>891</v>
      </c>
      <c r="B862" s="1" t="s">
        <v>22</v>
      </c>
      <c r="C862" s="2">
        <v>43303</v>
      </c>
      <c r="D862" s="1" t="s">
        <v>29</v>
      </c>
      <c r="E862" s="1">
        <v>3</v>
      </c>
      <c r="F862" s="1">
        <v>16</v>
      </c>
      <c r="G862" s="1">
        <v>48</v>
      </c>
      <c r="H862" s="1">
        <v>0.05</v>
      </c>
      <c r="I862" s="1" t="s">
        <v>46</v>
      </c>
    </row>
    <row r="863" spans="1:9" x14ac:dyDescent="0.3">
      <c r="A863" s="1" t="s">
        <v>892</v>
      </c>
      <c r="B863" s="1" t="s">
        <v>13</v>
      </c>
      <c r="C863" s="2">
        <v>43303</v>
      </c>
      <c r="D863" s="1" t="s">
        <v>29</v>
      </c>
      <c r="E863" s="1">
        <v>21</v>
      </c>
      <c r="F863" s="1">
        <v>16</v>
      </c>
      <c r="G863" s="1">
        <v>336</v>
      </c>
      <c r="H863" s="1">
        <v>0.02</v>
      </c>
      <c r="I863" s="1" t="s">
        <v>23</v>
      </c>
    </row>
    <row r="864" spans="1:9" x14ac:dyDescent="0.3">
      <c r="A864" s="1" t="s">
        <v>893</v>
      </c>
      <c r="B864" s="1" t="s">
        <v>25</v>
      </c>
      <c r="C864" s="2">
        <v>43303</v>
      </c>
      <c r="D864" s="1" t="s">
        <v>10</v>
      </c>
      <c r="E864" s="1">
        <v>4</v>
      </c>
      <c r="F864" s="1">
        <v>80</v>
      </c>
      <c r="G864" s="1">
        <v>320</v>
      </c>
      <c r="H864" s="1">
        <v>0.11</v>
      </c>
      <c r="I864" s="1" t="s">
        <v>26</v>
      </c>
    </row>
    <row r="865" spans="1:9" x14ac:dyDescent="0.3">
      <c r="A865" s="1" t="s">
        <v>894</v>
      </c>
      <c r="B865" s="1" t="s">
        <v>28</v>
      </c>
      <c r="C865" s="2">
        <v>43303</v>
      </c>
      <c r="D865" s="1" t="s">
        <v>32</v>
      </c>
      <c r="E865" s="1">
        <v>23</v>
      </c>
      <c r="F865" s="1">
        <v>150</v>
      </c>
      <c r="G865" s="1">
        <v>3450</v>
      </c>
      <c r="H865" s="1">
        <v>0.08</v>
      </c>
      <c r="I865" s="1" t="s">
        <v>15</v>
      </c>
    </row>
    <row r="866" spans="1:9" x14ac:dyDescent="0.3">
      <c r="A866" s="1" t="s">
        <v>895</v>
      </c>
      <c r="B866" s="1" t="s">
        <v>28</v>
      </c>
      <c r="C866" s="2">
        <v>43303</v>
      </c>
      <c r="D866" s="1" t="s">
        <v>29</v>
      </c>
      <c r="E866" s="1">
        <v>23</v>
      </c>
      <c r="F866" s="1">
        <v>16</v>
      </c>
      <c r="G866" s="1">
        <v>368</v>
      </c>
      <c r="H866" s="1">
        <v>0.01</v>
      </c>
      <c r="I866" s="1" t="s">
        <v>18</v>
      </c>
    </row>
    <row r="867" spans="1:9" x14ac:dyDescent="0.3">
      <c r="A867" s="1" t="s">
        <v>896</v>
      </c>
      <c r="B867" s="1" t="s">
        <v>25</v>
      </c>
      <c r="C867" s="2">
        <v>43303</v>
      </c>
      <c r="D867" s="1" t="s">
        <v>14</v>
      </c>
      <c r="E867" s="1">
        <v>22</v>
      </c>
      <c r="F867" s="1">
        <v>40</v>
      </c>
      <c r="G867" s="1">
        <v>880</v>
      </c>
      <c r="H867" s="1">
        <v>0.01</v>
      </c>
      <c r="I867" s="1" t="s">
        <v>46</v>
      </c>
    </row>
    <row r="868" spans="1:9" x14ac:dyDescent="0.3">
      <c r="A868" s="1" t="s">
        <v>897</v>
      </c>
      <c r="B868" s="1" t="s">
        <v>9</v>
      </c>
      <c r="C868" s="2">
        <v>43304</v>
      </c>
      <c r="D868" s="1" t="s">
        <v>32</v>
      </c>
      <c r="E868" s="1">
        <v>8</v>
      </c>
      <c r="F868" s="1">
        <v>150</v>
      </c>
      <c r="G868" s="1">
        <v>1200</v>
      </c>
      <c r="H868" s="1">
        <v>0.09</v>
      </c>
      <c r="I868" s="1" t="s">
        <v>23</v>
      </c>
    </row>
    <row r="869" spans="1:9" x14ac:dyDescent="0.3">
      <c r="A869" s="1" t="s">
        <v>898</v>
      </c>
      <c r="B869" s="1" t="s">
        <v>9</v>
      </c>
      <c r="C869" s="2">
        <v>43304</v>
      </c>
      <c r="D869" s="1" t="s">
        <v>32</v>
      </c>
      <c r="E869" s="1">
        <v>20</v>
      </c>
      <c r="F869" s="1">
        <v>150</v>
      </c>
      <c r="G869" s="1">
        <v>3000</v>
      </c>
      <c r="H869" s="1">
        <v>0.01</v>
      </c>
      <c r="I869" s="1" t="s">
        <v>26</v>
      </c>
    </row>
    <row r="870" spans="1:9" x14ac:dyDescent="0.3">
      <c r="A870" s="1" t="s">
        <v>899</v>
      </c>
      <c r="B870" s="1" t="s">
        <v>13</v>
      </c>
      <c r="C870" s="2">
        <v>43304</v>
      </c>
      <c r="D870" s="1" t="s">
        <v>17</v>
      </c>
      <c r="E870" s="1">
        <v>22</v>
      </c>
      <c r="F870" s="1">
        <v>230</v>
      </c>
      <c r="G870" s="1">
        <v>5060</v>
      </c>
      <c r="H870" s="1">
        <v>0.11</v>
      </c>
      <c r="I870" s="1" t="s">
        <v>30</v>
      </c>
    </row>
    <row r="871" spans="1:9" x14ac:dyDescent="0.3">
      <c r="A871" s="1" t="s">
        <v>900</v>
      </c>
      <c r="B871" s="1" t="s">
        <v>22</v>
      </c>
      <c r="C871" s="2">
        <v>43304</v>
      </c>
      <c r="D871" s="1" t="s">
        <v>29</v>
      </c>
      <c r="E871" s="1">
        <v>23</v>
      </c>
      <c r="F871" s="1">
        <v>16</v>
      </c>
      <c r="G871" s="1">
        <v>368</v>
      </c>
      <c r="H871" s="1">
        <v>0.11</v>
      </c>
      <c r="I871" s="1" t="s">
        <v>33</v>
      </c>
    </row>
    <row r="872" spans="1:9" x14ac:dyDescent="0.3">
      <c r="A872" s="1" t="s">
        <v>901</v>
      </c>
      <c r="B872" s="1" t="s">
        <v>9</v>
      </c>
      <c r="C872" s="2">
        <v>43304</v>
      </c>
      <c r="D872" s="1" t="s">
        <v>10</v>
      </c>
      <c r="E872" s="1">
        <v>6</v>
      </c>
      <c r="F872" s="1">
        <v>80</v>
      </c>
      <c r="G872" s="1">
        <v>480</v>
      </c>
      <c r="H872" s="1">
        <v>0.01</v>
      </c>
      <c r="I872" s="1" t="s">
        <v>35</v>
      </c>
    </row>
    <row r="873" spans="1:9" x14ac:dyDescent="0.3">
      <c r="A873" s="1" t="s">
        <v>902</v>
      </c>
      <c r="B873" s="1" t="s">
        <v>9</v>
      </c>
      <c r="C873" s="2">
        <v>43304</v>
      </c>
      <c r="D873" s="1" t="s">
        <v>29</v>
      </c>
      <c r="E873" s="1">
        <v>7</v>
      </c>
      <c r="F873" s="1">
        <v>16</v>
      </c>
      <c r="G873" s="1">
        <v>112</v>
      </c>
      <c r="H873" s="1">
        <v>0.12</v>
      </c>
      <c r="I873" s="1" t="s">
        <v>37</v>
      </c>
    </row>
    <row r="874" spans="1:9" x14ac:dyDescent="0.3">
      <c r="A874" s="1" t="s">
        <v>903</v>
      </c>
      <c r="B874" s="1" t="s">
        <v>13</v>
      </c>
      <c r="C874" s="2">
        <v>43304</v>
      </c>
      <c r="D874" s="1" t="s">
        <v>10</v>
      </c>
      <c r="E874" s="1">
        <v>10</v>
      </c>
      <c r="F874" s="1">
        <v>80</v>
      </c>
      <c r="G874" s="1">
        <v>800</v>
      </c>
      <c r="H874" s="1">
        <v>0.11</v>
      </c>
      <c r="I874" s="1" t="s">
        <v>39</v>
      </c>
    </row>
    <row r="875" spans="1:9" x14ac:dyDescent="0.3">
      <c r="A875" s="1" t="s">
        <v>904</v>
      </c>
      <c r="B875" s="1" t="s">
        <v>9</v>
      </c>
      <c r="C875" s="2">
        <v>43304</v>
      </c>
      <c r="D875" s="1" t="s">
        <v>17</v>
      </c>
      <c r="E875" s="1">
        <v>9</v>
      </c>
      <c r="F875" s="1">
        <v>230</v>
      </c>
      <c r="G875" s="1">
        <v>2070</v>
      </c>
      <c r="H875" s="1">
        <v>7.0000000000000007E-2</v>
      </c>
      <c r="I875" s="1" t="s">
        <v>41</v>
      </c>
    </row>
    <row r="876" spans="1:9" x14ac:dyDescent="0.3">
      <c r="A876" s="1" t="s">
        <v>905</v>
      </c>
      <c r="B876" s="1" t="s">
        <v>13</v>
      </c>
      <c r="C876" s="2">
        <v>43305</v>
      </c>
      <c r="D876" s="1" t="s">
        <v>14</v>
      </c>
      <c r="E876" s="1">
        <v>12</v>
      </c>
      <c r="F876" s="1">
        <v>40</v>
      </c>
      <c r="G876" s="1">
        <v>480</v>
      </c>
      <c r="H876" s="1">
        <v>0.1</v>
      </c>
      <c r="I876" s="1" t="s">
        <v>11</v>
      </c>
    </row>
    <row r="877" spans="1:9" x14ac:dyDescent="0.3">
      <c r="A877" s="1" t="s">
        <v>906</v>
      </c>
      <c r="B877" s="1" t="s">
        <v>28</v>
      </c>
      <c r="C877" s="2">
        <v>43305</v>
      </c>
      <c r="D877" s="1" t="s">
        <v>29</v>
      </c>
      <c r="E877" s="1">
        <v>17</v>
      </c>
      <c r="F877" s="1">
        <v>16</v>
      </c>
      <c r="G877" s="1">
        <v>272</v>
      </c>
      <c r="H877" s="1">
        <v>0.1</v>
      </c>
      <c r="I877" s="1" t="s">
        <v>15</v>
      </c>
    </row>
    <row r="878" spans="1:9" x14ac:dyDescent="0.3">
      <c r="A878" s="1" t="s">
        <v>907</v>
      </c>
      <c r="B878" s="1" t="s">
        <v>22</v>
      </c>
      <c r="C878" s="2">
        <v>43305</v>
      </c>
      <c r="D878" s="1" t="s">
        <v>32</v>
      </c>
      <c r="E878" s="1">
        <v>22</v>
      </c>
      <c r="F878" s="1">
        <v>150</v>
      </c>
      <c r="G878" s="1">
        <v>3300</v>
      </c>
      <c r="H878" s="1">
        <v>0.04</v>
      </c>
      <c r="I878" s="1" t="s">
        <v>18</v>
      </c>
    </row>
    <row r="879" spans="1:9" x14ac:dyDescent="0.3">
      <c r="A879" s="1" t="s">
        <v>908</v>
      </c>
      <c r="B879" s="1" t="s">
        <v>22</v>
      </c>
      <c r="C879" s="2">
        <v>43305</v>
      </c>
      <c r="D879" s="1" t="s">
        <v>32</v>
      </c>
      <c r="E879" s="1">
        <v>11</v>
      </c>
      <c r="F879" s="1">
        <v>150</v>
      </c>
      <c r="G879" s="1">
        <v>1650</v>
      </c>
      <c r="H879" s="1">
        <v>0.05</v>
      </c>
      <c r="I879" s="1" t="s">
        <v>46</v>
      </c>
    </row>
    <row r="880" spans="1:9" x14ac:dyDescent="0.3">
      <c r="A880" s="1" t="s">
        <v>909</v>
      </c>
      <c r="B880" s="1" t="s">
        <v>28</v>
      </c>
      <c r="C880" s="2">
        <v>43305</v>
      </c>
      <c r="D880" s="1" t="s">
        <v>10</v>
      </c>
      <c r="E880" s="1">
        <v>9</v>
      </c>
      <c r="F880" s="1">
        <v>80</v>
      </c>
      <c r="G880" s="1">
        <v>720</v>
      </c>
      <c r="H880" s="1">
        <v>0.02</v>
      </c>
      <c r="I880" s="1" t="s">
        <v>23</v>
      </c>
    </row>
    <row r="881" spans="1:9" x14ac:dyDescent="0.3">
      <c r="A881" s="1" t="s">
        <v>910</v>
      </c>
      <c r="B881" s="1" t="s">
        <v>28</v>
      </c>
      <c r="C881" s="2">
        <v>43305</v>
      </c>
      <c r="D881" s="1" t="s">
        <v>10</v>
      </c>
      <c r="E881" s="1">
        <v>13</v>
      </c>
      <c r="F881" s="1">
        <v>80</v>
      </c>
      <c r="G881" s="1">
        <v>1040</v>
      </c>
      <c r="H881" s="1">
        <v>0.05</v>
      </c>
      <c r="I881" s="1" t="s">
        <v>26</v>
      </c>
    </row>
    <row r="882" spans="1:9" x14ac:dyDescent="0.3">
      <c r="A882" s="1" t="s">
        <v>911</v>
      </c>
      <c r="B882" s="1" t="s">
        <v>28</v>
      </c>
      <c r="C882" s="2">
        <v>43305</v>
      </c>
      <c r="D882" s="1" t="s">
        <v>14</v>
      </c>
      <c r="E882" s="1">
        <v>20</v>
      </c>
      <c r="F882" s="1">
        <v>40</v>
      </c>
      <c r="G882" s="1">
        <v>800</v>
      </c>
      <c r="H882" s="1">
        <v>0.1</v>
      </c>
      <c r="I882" s="1" t="s">
        <v>15</v>
      </c>
    </row>
    <row r="883" spans="1:9" x14ac:dyDescent="0.3">
      <c r="A883" s="1" t="s">
        <v>912</v>
      </c>
      <c r="B883" s="1" t="s">
        <v>13</v>
      </c>
      <c r="C883" s="2">
        <v>43305</v>
      </c>
      <c r="D883" s="1" t="s">
        <v>14</v>
      </c>
      <c r="E883" s="1">
        <v>15</v>
      </c>
      <c r="F883" s="1">
        <v>40</v>
      </c>
      <c r="G883" s="1">
        <v>600</v>
      </c>
      <c r="H883" s="1">
        <v>0.02</v>
      </c>
      <c r="I883" s="1" t="s">
        <v>18</v>
      </c>
    </row>
    <row r="884" spans="1:9" x14ac:dyDescent="0.3">
      <c r="A884" s="1" t="s">
        <v>913</v>
      </c>
      <c r="B884" s="1" t="s">
        <v>28</v>
      </c>
      <c r="C884" s="2">
        <v>43306</v>
      </c>
      <c r="D884" s="1" t="s">
        <v>32</v>
      </c>
      <c r="E884" s="1">
        <v>15</v>
      </c>
      <c r="F884" s="1">
        <v>150</v>
      </c>
      <c r="G884" s="1">
        <v>2250</v>
      </c>
      <c r="H884" s="1">
        <v>7.0000000000000007E-2</v>
      </c>
      <c r="I884" s="1" t="s">
        <v>46</v>
      </c>
    </row>
    <row r="885" spans="1:9" x14ac:dyDescent="0.3">
      <c r="A885" s="1" t="s">
        <v>914</v>
      </c>
      <c r="B885" s="1" t="s">
        <v>28</v>
      </c>
      <c r="C885" s="2">
        <v>43306</v>
      </c>
      <c r="D885" s="1" t="s">
        <v>10</v>
      </c>
      <c r="E885" s="1">
        <v>16</v>
      </c>
      <c r="F885" s="1">
        <v>80</v>
      </c>
      <c r="G885" s="1">
        <v>1280</v>
      </c>
      <c r="H885" s="1">
        <v>0.09</v>
      </c>
      <c r="I885" s="1" t="s">
        <v>23</v>
      </c>
    </row>
    <row r="886" spans="1:9" x14ac:dyDescent="0.3">
      <c r="A886" s="1" t="s">
        <v>915</v>
      </c>
      <c r="B886" s="1" t="s">
        <v>9</v>
      </c>
      <c r="C886" s="2">
        <v>43306</v>
      </c>
      <c r="D886" s="1" t="s">
        <v>17</v>
      </c>
      <c r="E886" s="1">
        <v>16</v>
      </c>
      <c r="F886" s="1">
        <v>230</v>
      </c>
      <c r="G886" s="1">
        <v>3680</v>
      </c>
      <c r="H886" s="1">
        <v>7.0000000000000007E-2</v>
      </c>
      <c r="I886" s="1" t="s">
        <v>26</v>
      </c>
    </row>
    <row r="887" spans="1:9" x14ac:dyDescent="0.3">
      <c r="A887" s="1" t="s">
        <v>916</v>
      </c>
      <c r="B887" s="1" t="s">
        <v>13</v>
      </c>
      <c r="C887" s="2">
        <v>43306</v>
      </c>
      <c r="D887" s="1" t="s">
        <v>10</v>
      </c>
      <c r="E887" s="1">
        <v>14</v>
      </c>
      <c r="F887" s="1">
        <v>80</v>
      </c>
      <c r="G887" s="1">
        <v>1120</v>
      </c>
      <c r="H887" s="1">
        <v>0.11</v>
      </c>
      <c r="I887" s="1" t="s">
        <v>30</v>
      </c>
    </row>
    <row r="888" spans="1:9" x14ac:dyDescent="0.3">
      <c r="A888" s="1" t="s">
        <v>917</v>
      </c>
      <c r="B888" s="1" t="s">
        <v>28</v>
      </c>
      <c r="C888" s="2">
        <v>43306</v>
      </c>
      <c r="D888" s="1" t="s">
        <v>10</v>
      </c>
      <c r="E888" s="1">
        <v>17</v>
      </c>
      <c r="F888" s="1">
        <v>80</v>
      </c>
      <c r="G888" s="1">
        <v>1360</v>
      </c>
      <c r="H888" s="1">
        <v>7.0000000000000007E-2</v>
      </c>
      <c r="I888" s="1" t="s">
        <v>33</v>
      </c>
    </row>
    <row r="889" spans="1:9" x14ac:dyDescent="0.3">
      <c r="A889" s="1" t="s">
        <v>918</v>
      </c>
      <c r="B889" s="1" t="s">
        <v>22</v>
      </c>
      <c r="C889" s="2">
        <v>43306</v>
      </c>
      <c r="D889" s="1" t="s">
        <v>10</v>
      </c>
      <c r="E889" s="1">
        <v>16</v>
      </c>
      <c r="F889" s="1">
        <v>80</v>
      </c>
      <c r="G889" s="1">
        <v>1280</v>
      </c>
      <c r="H889" s="1">
        <v>0.02</v>
      </c>
      <c r="I889" s="1" t="s">
        <v>35</v>
      </c>
    </row>
    <row r="890" spans="1:9" x14ac:dyDescent="0.3">
      <c r="A890" s="1" t="s">
        <v>919</v>
      </c>
      <c r="B890" s="1" t="s">
        <v>9</v>
      </c>
      <c r="C890" s="2">
        <v>43306</v>
      </c>
      <c r="D890" s="1" t="s">
        <v>29</v>
      </c>
      <c r="E890" s="1">
        <v>21</v>
      </c>
      <c r="F890" s="1">
        <v>16</v>
      </c>
      <c r="G890" s="1">
        <v>336</v>
      </c>
      <c r="H890" s="1">
        <v>0.09</v>
      </c>
      <c r="I890" s="1" t="s">
        <v>37</v>
      </c>
    </row>
    <row r="891" spans="1:9" x14ac:dyDescent="0.3">
      <c r="A891" s="1" t="s">
        <v>920</v>
      </c>
      <c r="B891" s="1" t="s">
        <v>9</v>
      </c>
      <c r="C891" s="2">
        <v>43306</v>
      </c>
      <c r="D891" s="1" t="s">
        <v>32</v>
      </c>
      <c r="E891" s="1">
        <v>9</v>
      </c>
      <c r="F891" s="1">
        <v>150</v>
      </c>
      <c r="G891" s="1">
        <v>1350</v>
      </c>
      <c r="H891" s="1">
        <v>0.1</v>
      </c>
      <c r="I891" s="1" t="s">
        <v>39</v>
      </c>
    </row>
    <row r="892" spans="1:9" x14ac:dyDescent="0.3">
      <c r="A892" s="1" t="s">
        <v>921</v>
      </c>
      <c r="B892" s="1" t="s">
        <v>25</v>
      </c>
      <c r="C892" s="2">
        <v>43306</v>
      </c>
      <c r="D892" s="1" t="s">
        <v>32</v>
      </c>
      <c r="E892" s="1">
        <v>3</v>
      </c>
      <c r="F892" s="1">
        <v>150</v>
      </c>
      <c r="G892" s="1">
        <v>450</v>
      </c>
      <c r="H892" s="1">
        <v>0.01</v>
      </c>
      <c r="I892" s="1" t="s">
        <v>41</v>
      </c>
    </row>
    <row r="893" spans="1:9" x14ac:dyDescent="0.3">
      <c r="A893" s="1" t="s">
        <v>922</v>
      </c>
      <c r="B893" s="1" t="s">
        <v>13</v>
      </c>
      <c r="C893" s="2">
        <v>43307</v>
      </c>
      <c r="D893" s="1" t="s">
        <v>10</v>
      </c>
      <c r="E893" s="1">
        <v>14</v>
      </c>
      <c r="F893" s="1">
        <v>80</v>
      </c>
      <c r="G893" s="1">
        <v>1120</v>
      </c>
      <c r="H893" s="1">
        <v>0.06</v>
      </c>
      <c r="I893" s="1" t="s">
        <v>11</v>
      </c>
    </row>
    <row r="894" spans="1:9" x14ac:dyDescent="0.3">
      <c r="A894" s="1" t="s">
        <v>923</v>
      </c>
      <c r="B894" s="1" t="s">
        <v>28</v>
      </c>
      <c r="C894" s="2">
        <v>43307</v>
      </c>
      <c r="D894" s="1" t="s">
        <v>32</v>
      </c>
      <c r="E894" s="1">
        <v>4</v>
      </c>
      <c r="F894" s="1">
        <v>150</v>
      </c>
      <c r="G894" s="1">
        <v>600</v>
      </c>
      <c r="H894" s="1">
        <v>0.05</v>
      </c>
      <c r="I894" s="1" t="s">
        <v>15</v>
      </c>
    </row>
    <row r="895" spans="1:9" x14ac:dyDescent="0.3">
      <c r="A895" s="1" t="s">
        <v>924</v>
      </c>
      <c r="B895" s="1" t="s">
        <v>13</v>
      </c>
      <c r="C895" s="2">
        <v>43307</v>
      </c>
      <c r="D895" s="1" t="s">
        <v>29</v>
      </c>
      <c r="E895" s="1">
        <v>20</v>
      </c>
      <c r="F895" s="1">
        <v>16</v>
      </c>
      <c r="G895" s="1">
        <v>320</v>
      </c>
      <c r="H895" s="1">
        <v>0.06</v>
      </c>
      <c r="I895" s="1" t="s">
        <v>18</v>
      </c>
    </row>
    <row r="896" spans="1:9" x14ac:dyDescent="0.3">
      <c r="A896" s="1" t="s">
        <v>925</v>
      </c>
      <c r="B896" s="1" t="s">
        <v>22</v>
      </c>
      <c r="C896" s="2">
        <v>43307</v>
      </c>
      <c r="D896" s="1" t="s">
        <v>17</v>
      </c>
      <c r="E896" s="1">
        <v>7</v>
      </c>
      <c r="F896" s="1">
        <v>230</v>
      </c>
      <c r="G896" s="1">
        <v>1610</v>
      </c>
      <c r="H896" s="1">
        <v>0.01</v>
      </c>
      <c r="I896" s="1" t="s">
        <v>46</v>
      </c>
    </row>
    <row r="897" spans="1:9" x14ac:dyDescent="0.3">
      <c r="A897" s="1" t="s">
        <v>926</v>
      </c>
      <c r="B897" s="1" t="s">
        <v>13</v>
      </c>
      <c r="C897" s="2">
        <v>43307</v>
      </c>
      <c r="D897" s="1" t="s">
        <v>10</v>
      </c>
      <c r="E897" s="1">
        <v>9</v>
      </c>
      <c r="F897" s="1">
        <v>80</v>
      </c>
      <c r="G897" s="1">
        <v>720</v>
      </c>
      <c r="H897" s="1">
        <v>0.03</v>
      </c>
      <c r="I897" s="1" t="s">
        <v>23</v>
      </c>
    </row>
    <row r="898" spans="1:9" x14ac:dyDescent="0.3">
      <c r="A898" s="1" t="s">
        <v>927</v>
      </c>
      <c r="B898" s="1" t="s">
        <v>25</v>
      </c>
      <c r="C898" s="2">
        <v>43307</v>
      </c>
      <c r="D898" s="1" t="s">
        <v>14</v>
      </c>
      <c r="E898" s="1">
        <v>4</v>
      </c>
      <c r="F898" s="1">
        <v>40</v>
      </c>
      <c r="G898" s="1">
        <v>160</v>
      </c>
      <c r="H898" s="1">
        <v>0.05</v>
      </c>
      <c r="I898" s="1" t="s">
        <v>26</v>
      </c>
    </row>
    <row r="899" spans="1:9" x14ac:dyDescent="0.3">
      <c r="A899" s="1" t="s">
        <v>928</v>
      </c>
      <c r="B899" s="1" t="s">
        <v>9</v>
      </c>
      <c r="C899" s="2">
        <v>43307</v>
      </c>
      <c r="D899" s="1" t="s">
        <v>10</v>
      </c>
      <c r="E899" s="1">
        <v>6</v>
      </c>
      <c r="F899" s="1">
        <v>80</v>
      </c>
      <c r="G899" s="1">
        <v>480</v>
      </c>
      <c r="H899" s="1">
        <v>7.0000000000000007E-2</v>
      </c>
      <c r="I899" s="1" t="s">
        <v>15</v>
      </c>
    </row>
    <row r="900" spans="1:9" x14ac:dyDescent="0.3">
      <c r="A900" s="1" t="s">
        <v>929</v>
      </c>
      <c r="B900" s="1" t="s">
        <v>22</v>
      </c>
      <c r="C900" s="2">
        <v>43307</v>
      </c>
      <c r="D900" s="1" t="s">
        <v>29</v>
      </c>
      <c r="E900" s="1">
        <v>8</v>
      </c>
      <c r="F900" s="1">
        <v>16</v>
      </c>
      <c r="G900" s="1">
        <v>128</v>
      </c>
      <c r="H900" s="1">
        <v>0.03</v>
      </c>
      <c r="I900" s="1" t="s">
        <v>18</v>
      </c>
    </row>
    <row r="901" spans="1:9" x14ac:dyDescent="0.3">
      <c r="A901" s="1" t="s">
        <v>930</v>
      </c>
      <c r="B901" s="1" t="s">
        <v>9</v>
      </c>
      <c r="C901" s="2">
        <v>43307</v>
      </c>
      <c r="D901" s="1" t="s">
        <v>29</v>
      </c>
      <c r="E901" s="1">
        <v>10</v>
      </c>
      <c r="F901" s="1">
        <v>16</v>
      </c>
      <c r="G901" s="1">
        <v>160</v>
      </c>
      <c r="H901" s="1">
        <v>0.08</v>
      </c>
      <c r="I901" s="1" t="s">
        <v>46</v>
      </c>
    </row>
    <row r="902" spans="1:9" x14ac:dyDescent="0.3">
      <c r="A902" s="1" t="s">
        <v>931</v>
      </c>
      <c r="B902" s="1" t="s">
        <v>25</v>
      </c>
      <c r="C902" s="2">
        <v>43307</v>
      </c>
      <c r="D902" s="1" t="s">
        <v>29</v>
      </c>
      <c r="E902" s="1">
        <v>22</v>
      </c>
      <c r="F902" s="1">
        <v>16</v>
      </c>
      <c r="G902" s="1">
        <v>352</v>
      </c>
      <c r="H902" s="1">
        <v>0.03</v>
      </c>
      <c r="I902" s="1" t="s">
        <v>23</v>
      </c>
    </row>
    <row r="903" spans="1:9" x14ac:dyDescent="0.3">
      <c r="A903" s="1" t="s">
        <v>932</v>
      </c>
      <c r="B903" s="1" t="s">
        <v>25</v>
      </c>
      <c r="C903" s="2">
        <v>43307</v>
      </c>
      <c r="D903" s="1" t="s">
        <v>10</v>
      </c>
      <c r="E903" s="1">
        <v>11</v>
      </c>
      <c r="F903" s="1">
        <v>80</v>
      </c>
      <c r="G903" s="1">
        <v>880</v>
      </c>
      <c r="H903" s="1">
        <v>0.01</v>
      </c>
      <c r="I903" s="1" t="s">
        <v>26</v>
      </c>
    </row>
    <row r="904" spans="1:9" x14ac:dyDescent="0.3">
      <c r="A904" s="1" t="s">
        <v>933</v>
      </c>
      <c r="B904" s="1" t="s">
        <v>25</v>
      </c>
      <c r="C904" s="2">
        <v>43307</v>
      </c>
      <c r="D904" s="1" t="s">
        <v>29</v>
      </c>
      <c r="E904" s="1">
        <v>7</v>
      </c>
      <c r="F904" s="1">
        <v>16</v>
      </c>
      <c r="G904" s="1">
        <v>112</v>
      </c>
      <c r="H904" s="1">
        <v>0.08</v>
      </c>
      <c r="I904" s="1" t="s">
        <v>30</v>
      </c>
    </row>
    <row r="905" spans="1:9" x14ac:dyDescent="0.3">
      <c r="A905" s="1" t="s">
        <v>934</v>
      </c>
      <c r="B905" s="1" t="s">
        <v>22</v>
      </c>
      <c r="C905" s="2">
        <v>43308</v>
      </c>
      <c r="D905" s="1" t="s">
        <v>29</v>
      </c>
      <c r="E905" s="1">
        <v>11</v>
      </c>
      <c r="F905" s="1">
        <v>16</v>
      </c>
      <c r="G905" s="1">
        <v>176</v>
      </c>
      <c r="H905" s="1">
        <v>0.12</v>
      </c>
      <c r="I905" s="1" t="s">
        <v>33</v>
      </c>
    </row>
    <row r="906" spans="1:9" x14ac:dyDescent="0.3">
      <c r="A906" s="1" t="s">
        <v>935</v>
      </c>
      <c r="B906" s="1" t="s">
        <v>28</v>
      </c>
      <c r="C906" s="2">
        <v>43308</v>
      </c>
      <c r="D906" s="1" t="s">
        <v>14</v>
      </c>
      <c r="E906" s="1">
        <v>7</v>
      </c>
      <c r="F906" s="1">
        <v>40</v>
      </c>
      <c r="G906" s="1">
        <v>280</v>
      </c>
      <c r="H906" s="1">
        <v>0.05</v>
      </c>
      <c r="I906" s="1" t="s">
        <v>35</v>
      </c>
    </row>
    <row r="907" spans="1:9" x14ac:dyDescent="0.3">
      <c r="A907" s="1" t="s">
        <v>936</v>
      </c>
      <c r="B907" s="1" t="s">
        <v>22</v>
      </c>
      <c r="C907" s="2">
        <v>43308</v>
      </c>
      <c r="D907" s="1" t="s">
        <v>32</v>
      </c>
      <c r="E907" s="1">
        <v>9</v>
      </c>
      <c r="F907" s="1">
        <v>150</v>
      </c>
      <c r="G907" s="1">
        <v>1350</v>
      </c>
      <c r="H907" s="1">
        <v>0.06</v>
      </c>
      <c r="I907" s="1" t="s">
        <v>37</v>
      </c>
    </row>
    <row r="908" spans="1:9" x14ac:dyDescent="0.3">
      <c r="A908" s="1" t="s">
        <v>937</v>
      </c>
      <c r="B908" s="1" t="s">
        <v>9</v>
      </c>
      <c r="C908" s="2">
        <v>43308</v>
      </c>
      <c r="D908" s="1" t="s">
        <v>17</v>
      </c>
      <c r="E908" s="1">
        <v>20</v>
      </c>
      <c r="F908" s="1">
        <v>230</v>
      </c>
      <c r="G908" s="1">
        <v>4600</v>
      </c>
      <c r="H908" s="1">
        <v>0.04</v>
      </c>
      <c r="I908" s="1" t="s">
        <v>39</v>
      </c>
    </row>
    <row r="909" spans="1:9" x14ac:dyDescent="0.3">
      <c r="A909" s="1" t="s">
        <v>938</v>
      </c>
      <c r="B909" s="1" t="s">
        <v>22</v>
      </c>
      <c r="C909" s="2">
        <v>43308</v>
      </c>
      <c r="D909" s="1" t="s">
        <v>32</v>
      </c>
      <c r="E909" s="1">
        <v>9</v>
      </c>
      <c r="F909" s="1">
        <v>150</v>
      </c>
      <c r="G909" s="1">
        <v>1350</v>
      </c>
      <c r="H909" s="1">
        <v>0.02</v>
      </c>
      <c r="I909" s="1" t="s">
        <v>41</v>
      </c>
    </row>
    <row r="910" spans="1:9" x14ac:dyDescent="0.3">
      <c r="A910" s="1" t="s">
        <v>939</v>
      </c>
      <c r="B910" s="1" t="s">
        <v>13</v>
      </c>
      <c r="C910" s="2">
        <v>43308</v>
      </c>
      <c r="D910" s="1" t="s">
        <v>10</v>
      </c>
      <c r="E910" s="1">
        <v>5</v>
      </c>
      <c r="F910" s="1">
        <v>80</v>
      </c>
      <c r="G910" s="1">
        <v>400</v>
      </c>
      <c r="H910" s="1">
        <v>7.0000000000000007E-2</v>
      </c>
      <c r="I910" s="1" t="s">
        <v>11</v>
      </c>
    </row>
    <row r="911" spans="1:9" x14ac:dyDescent="0.3">
      <c r="A911" s="1" t="s">
        <v>940</v>
      </c>
      <c r="B911" s="1" t="s">
        <v>22</v>
      </c>
      <c r="C911" s="2">
        <v>43308</v>
      </c>
      <c r="D911" s="1" t="s">
        <v>32</v>
      </c>
      <c r="E911" s="1">
        <v>20</v>
      </c>
      <c r="F911" s="1">
        <v>150</v>
      </c>
      <c r="G911" s="1">
        <v>3000</v>
      </c>
      <c r="H911" s="1">
        <v>0.04</v>
      </c>
      <c r="I911" s="1" t="s">
        <v>15</v>
      </c>
    </row>
    <row r="912" spans="1:9" x14ac:dyDescent="0.3">
      <c r="A912" s="1" t="s">
        <v>941</v>
      </c>
      <c r="B912" s="1" t="s">
        <v>25</v>
      </c>
      <c r="C912" s="2">
        <v>43308</v>
      </c>
      <c r="D912" s="1" t="s">
        <v>32</v>
      </c>
      <c r="E912" s="1">
        <v>15</v>
      </c>
      <c r="F912" s="1">
        <v>150</v>
      </c>
      <c r="G912" s="1">
        <v>2250</v>
      </c>
      <c r="H912" s="1">
        <v>0.05</v>
      </c>
      <c r="I912" s="1" t="s">
        <v>18</v>
      </c>
    </row>
    <row r="913" spans="1:9" x14ac:dyDescent="0.3">
      <c r="A913" s="1" t="s">
        <v>942</v>
      </c>
      <c r="B913" s="1" t="s">
        <v>9</v>
      </c>
      <c r="C913" s="2">
        <v>43308</v>
      </c>
      <c r="D913" s="1" t="s">
        <v>10</v>
      </c>
      <c r="E913" s="1">
        <v>20</v>
      </c>
      <c r="F913" s="1">
        <v>80</v>
      </c>
      <c r="G913" s="1">
        <v>1600</v>
      </c>
      <c r="H913" s="1">
        <v>0.01</v>
      </c>
      <c r="I913" s="1" t="s">
        <v>46</v>
      </c>
    </row>
    <row r="914" spans="1:9" x14ac:dyDescent="0.3">
      <c r="A914" s="1" t="s">
        <v>943</v>
      </c>
      <c r="B914" s="1" t="s">
        <v>13</v>
      </c>
      <c r="C914" s="2">
        <v>43309</v>
      </c>
      <c r="D914" s="1" t="s">
        <v>17</v>
      </c>
      <c r="E914" s="1">
        <v>12</v>
      </c>
      <c r="F914" s="1">
        <v>230</v>
      </c>
      <c r="G914" s="1">
        <v>2760</v>
      </c>
      <c r="H914" s="1">
        <v>0.03</v>
      </c>
      <c r="I914" s="1" t="s">
        <v>23</v>
      </c>
    </row>
    <row r="915" spans="1:9" x14ac:dyDescent="0.3">
      <c r="A915" s="1" t="s">
        <v>944</v>
      </c>
      <c r="B915" s="1" t="s">
        <v>28</v>
      </c>
      <c r="C915" s="2">
        <v>43309</v>
      </c>
      <c r="D915" s="1" t="s">
        <v>14</v>
      </c>
      <c r="E915" s="1">
        <v>20</v>
      </c>
      <c r="F915" s="1">
        <v>40</v>
      </c>
      <c r="G915" s="1">
        <v>800</v>
      </c>
      <c r="H915" s="1">
        <v>0.05</v>
      </c>
      <c r="I915" s="1" t="s">
        <v>26</v>
      </c>
    </row>
    <row r="916" spans="1:9" x14ac:dyDescent="0.3">
      <c r="A916" s="1" t="s">
        <v>945</v>
      </c>
      <c r="B916" s="1" t="s">
        <v>28</v>
      </c>
      <c r="C916" s="2">
        <v>43309</v>
      </c>
      <c r="D916" s="1" t="s">
        <v>14</v>
      </c>
      <c r="E916" s="1">
        <v>4</v>
      </c>
      <c r="F916" s="1">
        <v>40</v>
      </c>
      <c r="G916" s="1">
        <v>160</v>
      </c>
      <c r="H916" s="1">
        <v>0.09</v>
      </c>
      <c r="I916" s="1" t="s">
        <v>15</v>
      </c>
    </row>
    <row r="917" spans="1:9" x14ac:dyDescent="0.3">
      <c r="A917" s="1" t="s">
        <v>946</v>
      </c>
      <c r="B917" s="1" t="s">
        <v>22</v>
      </c>
      <c r="C917" s="2">
        <v>43309</v>
      </c>
      <c r="D917" s="1" t="s">
        <v>29</v>
      </c>
      <c r="E917" s="1">
        <v>6</v>
      </c>
      <c r="F917" s="1">
        <v>16</v>
      </c>
      <c r="G917" s="1">
        <v>96</v>
      </c>
      <c r="H917" s="1">
        <v>7.0000000000000007E-2</v>
      </c>
      <c r="I917" s="1" t="s">
        <v>18</v>
      </c>
    </row>
    <row r="918" spans="1:9" x14ac:dyDescent="0.3">
      <c r="A918" s="1" t="s">
        <v>947</v>
      </c>
      <c r="B918" s="1" t="s">
        <v>13</v>
      </c>
      <c r="C918" s="2">
        <v>43309</v>
      </c>
      <c r="D918" s="1" t="s">
        <v>10</v>
      </c>
      <c r="E918" s="1">
        <v>13</v>
      </c>
      <c r="F918" s="1">
        <v>80</v>
      </c>
      <c r="G918" s="1">
        <v>1040</v>
      </c>
      <c r="H918" s="1">
        <v>0.06</v>
      </c>
      <c r="I918" s="1" t="s">
        <v>46</v>
      </c>
    </row>
    <row r="919" spans="1:9" x14ac:dyDescent="0.3">
      <c r="A919" s="1" t="s">
        <v>948</v>
      </c>
      <c r="B919" s="1" t="s">
        <v>9</v>
      </c>
      <c r="C919" s="2">
        <v>43309</v>
      </c>
      <c r="D919" s="1" t="s">
        <v>32</v>
      </c>
      <c r="E919" s="1">
        <v>4</v>
      </c>
      <c r="F919" s="1">
        <v>150</v>
      </c>
      <c r="G919" s="1">
        <v>600</v>
      </c>
      <c r="H919" s="1">
        <v>0.1</v>
      </c>
      <c r="I919" s="1" t="s">
        <v>23</v>
      </c>
    </row>
    <row r="920" spans="1:9" x14ac:dyDescent="0.3">
      <c r="A920" s="1" t="s">
        <v>949</v>
      </c>
      <c r="B920" s="1" t="s">
        <v>25</v>
      </c>
      <c r="C920" s="2">
        <v>43309</v>
      </c>
      <c r="D920" s="1" t="s">
        <v>32</v>
      </c>
      <c r="E920" s="1">
        <v>9</v>
      </c>
      <c r="F920" s="1">
        <v>150</v>
      </c>
      <c r="G920" s="1">
        <v>1350</v>
      </c>
      <c r="H920" s="1">
        <v>0.02</v>
      </c>
      <c r="I920" s="1" t="s">
        <v>26</v>
      </c>
    </row>
    <row r="921" spans="1:9" x14ac:dyDescent="0.3">
      <c r="A921" s="1" t="s">
        <v>950</v>
      </c>
      <c r="B921" s="1" t="s">
        <v>9</v>
      </c>
      <c r="C921" s="2">
        <v>43309</v>
      </c>
      <c r="D921" s="1" t="s">
        <v>32</v>
      </c>
      <c r="E921" s="1">
        <v>11</v>
      </c>
      <c r="F921" s="1">
        <v>150</v>
      </c>
      <c r="G921" s="1">
        <v>1650</v>
      </c>
      <c r="H921" s="1">
        <v>0.05</v>
      </c>
      <c r="I921" s="1" t="s">
        <v>30</v>
      </c>
    </row>
    <row r="922" spans="1:9" x14ac:dyDescent="0.3">
      <c r="A922" s="1" t="s">
        <v>951</v>
      </c>
      <c r="B922" s="1" t="s">
        <v>22</v>
      </c>
      <c r="C922" s="2">
        <v>43309</v>
      </c>
      <c r="D922" s="1" t="s">
        <v>29</v>
      </c>
      <c r="E922" s="1">
        <v>6</v>
      </c>
      <c r="F922" s="1">
        <v>16</v>
      </c>
      <c r="G922" s="1">
        <v>96</v>
      </c>
      <c r="H922" s="1">
        <v>0.06</v>
      </c>
      <c r="I922" s="1" t="s">
        <v>33</v>
      </c>
    </row>
    <row r="923" spans="1:9" x14ac:dyDescent="0.3">
      <c r="A923" s="1" t="s">
        <v>952</v>
      </c>
      <c r="B923" s="1" t="s">
        <v>22</v>
      </c>
      <c r="C923" s="2">
        <v>43310</v>
      </c>
      <c r="D923" s="1" t="s">
        <v>17</v>
      </c>
      <c r="E923" s="1">
        <v>14</v>
      </c>
      <c r="F923" s="1">
        <v>230</v>
      </c>
      <c r="G923" s="1">
        <v>3220</v>
      </c>
      <c r="H923" s="1">
        <v>0.12</v>
      </c>
      <c r="I923" s="1" t="s">
        <v>35</v>
      </c>
    </row>
    <row r="924" spans="1:9" x14ac:dyDescent="0.3">
      <c r="A924" s="1" t="s">
        <v>953</v>
      </c>
      <c r="B924" s="1" t="s">
        <v>13</v>
      </c>
      <c r="C924" s="2">
        <v>43310</v>
      </c>
      <c r="D924" s="1" t="s">
        <v>10</v>
      </c>
      <c r="E924" s="1">
        <v>15</v>
      </c>
      <c r="F924" s="1">
        <v>80</v>
      </c>
      <c r="G924" s="1">
        <v>1200</v>
      </c>
      <c r="H924" s="1">
        <v>0.12</v>
      </c>
      <c r="I924" s="1" t="s">
        <v>37</v>
      </c>
    </row>
    <row r="925" spans="1:9" x14ac:dyDescent="0.3">
      <c r="A925" s="1" t="s">
        <v>954</v>
      </c>
      <c r="B925" s="1" t="s">
        <v>25</v>
      </c>
      <c r="C925" s="2">
        <v>43310</v>
      </c>
      <c r="D925" s="1" t="s">
        <v>17</v>
      </c>
      <c r="E925" s="1">
        <v>17</v>
      </c>
      <c r="F925" s="1">
        <v>230</v>
      </c>
      <c r="G925" s="1">
        <v>3910</v>
      </c>
      <c r="H925" s="1">
        <v>0.12</v>
      </c>
      <c r="I925" s="1" t="s">
        <v>39</v>
      </c>
    </row>
    <row r="926" spans="1:9" x14ac:dyDescent="0.3">
      <c r="A926" s="1" t="s">
        <v>955</v>
      </c>
      <c r="B926" s="1" t="s">
        <v>9</v>
      </c>
      <c r="C926" s="2">
        <v>43310</v>
      </c>
      <c r="D926" s="1" t="s">
        <v>32</v>
      </c>
      <c r="E926" s="1">
        <v>5</v>
      </c>
      <c r="F926" s="1">
        <v>150</v>
      </c>
      <c r="G926" s="1">
        <v>750</v>
      </c>
      <c r="H926" s="1">
        <v>0.11</v>
      </c>
      <c r="I926" s="1" t="s">
        <v>41</v>
      </c>
    </row>
    <row r="927" spans="1:9" x14ac:dyDescent="0.3">
      <c r="A927" s="1" t="s">
        <v>956</v>
      </c>
      <c r="B927" s="1" t="s">
        <v>28</v>
      </c>
      <c r="C927" s="2">
        <v>43310</v>
      </c>
      <c r="D927" s="1" t="s">
        <v>10</v>
      </c>
      <c r="E927" s="1">
        <v>10</v>
      </c>
      <c r="F927" s="1">
        <v>80</v>
      </c>
      <c r="G927" s="1">
        <v>800</v>
      </c>
      <c r="H927" s="1">
        <v>0.06</v>
      </c>
      <c r="I927" s="1" t="s">
        <v>11</v>
      </c>
    </row>
    <row r="928" spans="1:9" x14ac:dyDescent="0.3">
      <c r="A928" s="1" t="s">
        <v>957</v>
      </c>
      <c r="B928" s="1" t="s">
        <v>9</v>
      </c>
      <c r="C928" s="2">
        <v>43310</v>
      </c>
      <c r="D928" s="1" t="s">
        <v>10</v>
      </c>
      <c r="E928" s="1">
        <v>9</v>
      </c>
      <c r="F928" s="1">
        <v>80</v>
      </c>
      <c r="G928" s="1">
        <v>720</v>
      </c>
      <c r="H928" s="1">
        <v>0.04</v>
      </c>
      <c r="I928" s="1" t="s">
        <v>15</v>
      </c>
    </row>
    <row r="929" spans="1:9" x14ac:dyDescent="0.3">
      <c r="A929" s="1" t="s">
        <v>958</v>
      </c>
      <c r="B929" s="1" t="s">
        <v>28</v>
      </c>
      <c r="C929" s="2">
        <v>43310</v>
      </c>
      <c r="D929" s="1" t="s">
        <v>14</v>
      </c>
      <c r="E929" s="1">
        <v>16</v>
      </c>
      <c r="F929" s="1">
        <v>40</v>
      </c>
      <c r="G929" s="1">
        <v>640</v>
      </c>
      <c r="H929" s="1">
        <v>0.09</v>
      </c>
      <c r="I929" s="1" t="s">
        <v>18</v>
      </c>
    </row>
    <row r="930" spans="1:9" x14ac:dyDescent="0.3">
      <c r="A930" s="1" t="s">
        <v>959</v>
      </c>
      <c r="B930" s="1" t="s">
        <v>9</v>
      </c>
      <c r="C930" s="2">
        <v>43310</v>
      </c>
      <c r="D930" s="1" t="s">
        <v>17</v>
      </c>
      <c r="E930" s="1">
        <v>7</v>
      </c>
      <c r="F930" s="1">
        <v>230</v>
      </c>
      <c r="G930" s="1">
        <v>1610</v>
      </c>
      <c r="H930" s="1">
        <v>0.08</v>
      </c>
      <c r="I930" s="1" t="s">
        <v>46</v>
      </c>
    </row>
    <row r="931" spans="1:9" x14ac:dyDescent="0.3">
      <c r="A931" s="1" t="s">
        <v>960</v>
      </c>
      <c r="B931" s="1" t="s">
        <v>25</v>
      </c>
      <c r="C931" s="2">
        <v>43310</v>
      </c>
      <c r="D931" s="1" t="s">
        <v>10</v>
      </c>
      <c r="E931" s="1">
        <v>17</v>
      </c>
      <c r="F931" s="1">
        <v>80</v>
      </c>
      <c r="G931" s="1">
        <v>1360</v>
      </c>
      <c r="H931" s="1">
        <v>0.05</v>
      </c>
      <c r="I931" s="1" t="s">
        <v>23</v>
      </c>
    </row>
    <row r="932" spans="1:9" x14ac:dyDescent="0.3">
      <c r="A932" s="1" t="s">
        <v>961</v>
      </c>
      <c r="B932" s="1" t="s">
        <v>9</v>
      </c>
      <c r="C932" s="2">
        <v>43310</v>
      </c>
      <c r="D932" s="1" t="s">
        <v>17</v>
      </c>
      <c r="E932" s="1">
        <v>11</v>
      </c>
      <c r="F932" s="1">
        <v>230</v>
      </c>
      <c r="G932" s="1">
        <v>2530</v>
      </c>
      <c r="H932" s="1">
        <v>0.02</v>
      </c>
      <c r="I932" s="1" t="s">
        <v>26</v>
      </c>
    </row>
    <row r="933" spans="1:9" x14ac:dyDescent="0.3">
      <c r="A933" s="1" t="s">
        <v>962</v>
      </c>
      <c r="B933" s="1" t="s">
        <v>9</v>
      </c>
      <c r="C933" s="2">
        <v>43311</v>
      </c>
      <c r="D933" s="1" t="s">
        <v>14</v>
      </c>
      <c r="E933" s="1">
        <v>15</v>
      </c>
      <c r="F933" s="1">
        <v>40</v>
      </c>
      <c r="G933" s="1">
        <v>600</v>
      </c>
      <c r="H933" s="1">
        <v>0.06</v>
      </c>
      <c r="I933" s="1" t="s">
        <v>15</v>
      </c>
    </row>
    <row r="934" spans="1:9" x14ac:dyDescent="0.3">
      <c r="A934" s="1" t="s">
        <v>963</v>
      </c>
      <c r="B934" s="1" t="s">
        <v>9</v>
      </c>
      <c r="C934" s="2">
        <v>43312</v>
      </c>
      <c r="D934" s="1" t="s">
        <v>17</v>
      </c>
      <c r="E934" s="1">
        <v>7</v>
      </c>
      <c r="F934" s="1">
        <v>230</v>
      </c>
      <c r="G934" s="1">
        <v>1610</v>
      </c>
      <c r="H934" s="1">
        <v>0.02</v>
      </c>
      <c r="I934" s="1" t="s">
        <v>18</v>
      </c>
    </row>
    <row r="935" spans="1:9" x14ac:dyDescent="0.3">
      <c r="A935" s="1" t="s">
        <v>964</v>
      </c>
      <c r="B935" s="1" t="s">
        <v>22</v>
      </c>
      <c r="C935" s="2">
        <v>43312</v>
      </c>
      <c r="D935" s="1" t="s">
        <v>10</v>
      </c>
      <c r="E935" s="1">
        <v>20</v>
      </c>
      <c r="F935" s="1">
        <v>80</v>
      </c>
      <c r="G935" s="1">
        <v>1600</v>
      </c>
      <c r="H935" s="1">
        <v>7.0000000000000007E-2</v>
      </c>
      <c r="I935" s="1" t="s">
        <v>46</v>
      </c>
    </row>
    <row r="936" spans="1:9" x14ac:dyDescent="0.3">
      <c r="A936" s="1" t="s">
        <v>965</v>
      </c>
      <c r="B936" s="1" t="s">
        <v>13</v>
      </c>
      <c r="C936" s="2">
        <v>43312</v>
      </c>
      <c r="D936" s="1" t="s">
        <v>10</v>
      </c>
      <c r="E936" s="1">
        <v>3</v>
      </c>
      <c r="F936" s="1">
        <v>80</v>
      </c>
      <c r="G936" s="1">
        <v>240</v>
      </c>
      <c r="H936" s="1">
        <v>0.02</v>
      </c>
      <c r="I936" s="1" t="s">
        <v>23</v>
      </c>
    </row>
    <row r="937" spans="1:9" x14ac:dyDescent="0.3">
      <c r="A937" s="1" t="s">
        <v>966</v>
      </c>
      <c r="B937" s="1" t="s">
        <v>22</v>
      </c>
      <c r="C937" s="2">
        <v>43312</v>
      </c>
      <c r="D937" s="1" t="s">
        <v>32</v>
      </c>
      <c r="E937" s="1">
        <v>2</v>
      </c>
      <c r="F937" s="1">
        <v>150</v>
      </c>
      <c r="G937" s="1">
        <v>300</v>
      </c>
      <c r="H937" s="1">
        <v>0.02</v>
      </c>
      <c r="I937" s="1" t="s">
        <v>26</v>
      </c>
    </row>
    <row r="938" spans="1:9" x14ac:dyDescent="0.3">
      <c r="A938" s="1" t="s">
        <v>967</v>
      </c>
      <c r="B938" s="1" t="s">
        <v>22</v>
      </c>
      <c r="C938" s="2">
        <v>43312</v>
      </c>
      <c r="D938" s="1" t="s">
        <v>32</v>
      </c>
      <c r="E938" s="1">
        <v>22</v>
      </c>
      <c r="F938" s="1">
        <v>150</v>
      </c>
      <c r="G938" s="1">
        <v>3300</v>
      </c>
      <c r="H938" s="1">
        <v>0.09</v>
      </c>
      <c r="I938" s="1" t="s">
        <v>30</v>
      </c>
    </row>
    <row r="939" spans="1:9" x14ac:dyDescent="0.3">
      <c r="A939" s="1" t="s">
        <v>968</v>
      </c>
      <c r="B939" s="1" t="s">
        <v>9</v>
      </c>
      <c r="C939" s="2">
        <v>43312</v>
      </c>
      <c r="D939" s="1" t="s">
        <v>17</v>
      </c>
      <c r="E939" s="1">
        <v>5</v>
      </c>
      <c r="F939" s="1">
        <v>230</v>
      </c>
      <c r="G939" s="1">
        <v>1150</v>
      </c>
      <c r="H939" s="1">
        <v>0.1</v>
      </c>
      <c r="I939" s="1" t="s">
        <v>33</v>
      </c>
    </row>
    <row r="940" spans="1:9" x14ac:dyDescent="0.3">
      <c r="A940" s="1" t="s">
        <v>969</v>
      </c>
      <c r="B940" s="1" t="s">
        <v>28</v>
      </c>
      <c r="C940" s="2">
        <v>43312</v>
      </c>
      <c r="D940" s="1" t="s">
        <v>29</v>
      </c>
      <c r="E940" s="1">
        <v>12</v>
      </c>
      <c r="F940" s="1">
        <v>16</v>
      </c>
      <c r="G940" s="1">
        <v>192</v>
      </c>
      <c r="H940" s="1">
        <v>0.04</v>
      </c>
      <c r="I940" s="1" t="s">
        <v>35</v>
      </c>
    </row>
    <row r="941" spans="1:9" x14ac:dyDescent="0.3">
      <c r="A941" s="1" t="s">
        <v>970</v>
      </c>
      <c r="B941" s="1" t="s">
        <v>25</v>
      </c>
      <c r="C941" s="2">
        <v>43312</v>
      </c>
      <c r="D941" s="1" t="s">
        <v>14</v>
      </c>
      <c r="E941" s="1">
        <v>6</v>
      </c>
      <c r="F941" s="1">
        <v>40</v>
      </c>
      <c r="G941" s="1">
        <v>240</v>
      </c>
      <c r="H941" s="1">
        <v>7.0000000000000007E-2</v>
      </c>
      <c r="I941" s="1" t="s">
        <v>37</v>
      </c>
    </row>
    <row r="942" spans="1:9" x14ac:dyDescent="0.3">
      <c r="A942" s="1" t="s">
        <v>971</v>
      </c>
      <c r="B942" s="1" t="s">
        <v>28</v>
      </c>
      <c r="C942" s="2">
        <v>43312</v>
      </c>
      <c r="D942" s="1" t="s">
        <v>29</v>
      </c>
      <c r="E942" s="1">
        <v>15</v>
      </c>
      <c r="F942" s="1">
        <v>16</v>
      </c>
      <c r="G942" s="1">
        <v>240</v>
      </c>
      <c r="H942" s="1">
        <v>0.01</v>
      </c>
      <c r="I942" s="1" t="s">
        <v>39</v>
      </c>
    </row>
    <row r="943" spans="1:9" x14ac:dyDescent="0.3">
      <c r="A943" s="1" t="s">
        <v>972</v>
      </c>
      <c r="B943" s="1" t="s">
        <v>28</v>
      </c>
      <c r="C943" s="2">
        <v>43282</v>
      </c>
      <c r="D943" s="1" t="s">
        <v>32</v>
      </c>
      <c r="E943" s="1">
        <v>13</v>
      </c>
      <c r="F943" s="1">
        <v>150</v>
      </c>
      <c r="G943" s="1">
        <v>1950</v>
      </c>
      <c r="H943" s="1">
        <v>0.11</v>
      </c>
      <c r="I943" s="1" t="s">
        <v>41</v>
      </c>
    </row>
    <row r="944" spans="1:9" x14ac:dyDescent="0.3">
      <c r="A944" s="1" t="s">
        <v>973</v>
      </c>
      <c r="B944" s="1" t="s">
        <v>13</v>
      </c>
      <c r="C944" s="2">
        <v>43282</v>
      </c>
      <c r="D944" s="1" t="s">
        <v>14</v>
      </c>
      <c r="E944" s="1">
        <v>8</v>
      </c>
      <c r="F944" s="1">
        <v>40</v>
      </c>
      <c r="G944" s="1">
        <v>320</v>
      </c>
      <c r="H944" s="1">
        <v>0.09</v>
      </c>
      <c r="I944" s="1" t="s">
        <v>11</v>
      </c>
    </row>
    <row r="945" spans="1:9" x14ac:dyDescent="0.3">
      <c r="A945" s="1" t="s">
        <v>974</v>
      </c>
      <c r="B945" s="1" t="s">
        <v>25</v>
      </c>
      <c r="C945" s="2">
        <v>43282</v>
      </c>
      <c r="D945" s="1" t="s">
        <v>14</v>
      </c>
      <c r="E945" s="1">
        <v>7</v>
      </c>
      <c r="F945" s="1">
        <v>40</v>
      </c>
      <c r="G945" s="1">
        <v>280</v>
      </c>
      <c r="H945" s="1">
        <v>7.0000000000000007E-2</v>
      </c>
      <c r="I945" s="1" t="s">
        <v>15</v>
      </c>
    </row>
    <row r="946" spans="1:9" x14ac:dyDescent="0.3">
      <c r="A946" s="1" t="s">
        <v>975</v>
      </c>
      <c r="B946" s="1" t="s">
        <v>13</v>
      </c>
      <c r="C946" s="2">
        <v>43282</v>
      </c>
      <c r="D946" s="1" t="s">
        <v>14</v>
      </c>
      <c r="E946" s="1">
        <v>18</v>
      </c>
      <c r="F946" s="1">
        <v>40</v>
      </c>
      <c r="G946" s="1">
        <v>720</v>
      </c>
      <c r="H946" s="1">
        <v>0.08</v>
      </c>
      <c r="I946" s="1" t="s">
        <v>18</v>
      </c>
    </row>
    <row r="947" spans="1:9" x14ac:dyDescent="0.3">
      <c r="A947" s="1" t="s">
        <v>976</v>
      </c>
      <c r="B947" s="1" t="s">
        <v>25</v>
      </c>
      <c r="C947" s="2">
        <v>43282</v>
      </c>
      <c r="D947" s="1" t="s">
        <v>17</v>
      </c>
      <c r="E947" s="1">
        <v>19</v>
      </c>
      <c r="F947" s="1">
        <v>230</v>
      </c>
      <c r="G947" s="1">
        <v>4370</v>
      </c>
      <c r="H947" s="1">
        <v>0.06</v>
      </c>
      <c r="I947" s="1" t="s">
        <v>46</v>
      </c>
    </row>
    <row r="948" spans="1:9" x14ac:dyDescent="0.3">
      <c r="A948" s="1" t="s">
        <v>977</v>
      </c>
      <c r="B948" s="1" t="s">
        <v>9</v>
      </c>
      <c r="C948" s="2">
        <v>43282</v>
      </c>
      <c r="D948" s="1" t="s">
        <v>32</v>
      </c>
      <c r="E948" s="1">
        <v>4</v>
      </c>
      <c r="F948" s="1">
        <v>150</v>
      </c>
      <c r="G948" s="1">
        <v>600</v>
      </c>
      <c r="H948" s="1">
        <v>0.1</v>
      </c>
      <c r="I948" s="1" t="s">
        <v>23</v>
      </c>
    </row>
    <row r="949" spans="1:9" x14ac:dyDescent="0.3">
      <c r="A949" s="1" t="s">
        <v>978</v>
      </c>
      <c r="B949" s="1" t="s">
        <v>28</v>
      </c>
      <c r="C949" s="2">
        <v>43283</v>
      </c>
      <c r="D949" s="1" t="s">
        <v>10</v>
      </c>
      <c r="E949" s="1">
        <v>9</v>
      </c>
      <c r="F949" s="1">
        <v>80</v>
      </c>
      <c r="G949" s="1">
        <v>720</v>
      </c>
      <c r="H949" s="1">
        <v>0.06</v>
      </c>
      <c r="I949" s="1" t="s">
        <v>26</v>
      </c>
    </row>
    <row r="950" spans="1:9" x14ac:dyDescent="0.3">
      <c r="A950" s="1" t="s">
        <v>979</v>
      </c>
      <c r="B950" s="1" t="s">
        <v>22</v>
      </c>
      <c r="C950" s="2">
        <v>43283</v>
      </c>
      <c r="D950" s="1" t="s">
        <v>10</v>
      </c>
      <c r="E950" s="1">
        <v>16</v>
      </c>
      <c r="F950" s="1">
        <v>80</v>
      </c>
      <c r="G950" s="1">
        <v>1280</v>
      </c>
      <c r="H950" s="1">
        <v>0.02</v>
      </c>
      <c r="I950" s="1" t="s">
        <v>15</v>
      </c>
    </row>
    <row r="951" spans="1:9" x14ac:dyDescent="0.3">
      <c r="A951" s="1" t="s">
        <v>980</v>
      </c>
      <c r="B951" s="1" t="s">
        <v>13</v>
      </c>
      <c r="C951" s="2">
        <v>43283</v>
      </c>
      <c r="D951" s="1" t="s">
        <v>17</v>
      </c>
      <c r="E951" s="1">
        <v>15</v>
      </c>
      <c r="F951" s="1">
        <v>230</v>
      </c>
      <c r="G951" s="1">
        <v>3450</v>
      </c>
      <c r="H951" s="1">
        <v>0.09</v>
      </c>
      <c r="I951" s="1" t="s">
        <v>18</v>
      </c>
    </row>
    <row r="952" spans="1:9" x14ac:dyDescent="0.3">
      <c r="A952" s="1" t="s">
        <v>981</v>
      </c>
      <c r="B952" s="1" t="s">
        <v>28</v>
      </c>
      <c r="C952" s="2">
        <v>43283</v>
      </c>
      <c r="D952" s="1" t="s">
        <v>29</v>
      </c>
      <c r="E952" s="1">
        <v>15</v>
      </c>
      <c r="F952" s="1">
        <v>16</v>
      </c>
      <c r="G952" s="1">
        <v>240</v>
      </c>
      <c r="H952" s="1">
        <v>0.01</v>
      </c>
      <c r="I952" s="1" t="s">
        <v>46</v>
      </c>
    </row>
    <row r="953" spans="1:9" x14ac:dyDescent="0.3">
      <c r="A953" s="1" t="s">
        <v>982</v>
      </c>
      <c r="B953" s="1" t="s">
        <v>9</v>
      </c>
      <c r="C953" s="2">
        <v>43283</v>
      </c>
      <c r="D953" s="1" t="s">
        <v>17</v>
      </c>
      <c r="E953" s="1">
        <v>7</v>
      </c>
      <c r="F953" s="1">
        <v>230</v>
      </c>
      <c r="G953" s="1">
        <v>1610</v>
      </c>
      <c r="H953" s="1">
        <v>0.02</v>
      </c>
      <c r="I953" s="1" t="s">
        <v>23</v>
      </c>
    </row>
    <row r="954" spans="1:9" x14ac:dyDescent="0.3">
      <c r="A954" s="1" t="s">
        <v>983</v>
      </c>
      <c r="B954" s="1" t="s">
        <v>22</v>
      </c>
      <c r="C954" s="2">
        <v>43283</v>
      </c>
      <c r="D954" s="1" t="s">
        <v>29</v>
      </c>
      <c r="E954" s="1">
        <v>23</v>
      </c>
      <c r="F954" s="1">
        <v>16</v>
      </c>
      <c r="G954" s="1">
        <v>368</v>
      </c>
      <c r="H954" s="1">
        <v>0.11</v>
      </c>
      <c r="I954" s="1" t="s">
        <v>26</v>
      </c>
    </row>
    <row r="955" spans="1:9" x14ac:dyDescent="0.3">
      <c r="A955" s="1" t="s">
        <v>984</v>
      </c>
      <c r="B955" s="1" t="s">
        <v>28</v>
      </c>
      <c r="C955" s="2">
        <v>43283</v>
      </c>
      <c r="D955" s="1" t="s">
        <v>14</v>
      </c>
      <c r="E955" s="1">
        <v>20</v>
      </c>
      <c r="F955" s="1">
        <v>40</v>
      </c>
      <c r="G955" s="1">
        <v>800</v>
      </c>
      <c r="H955" s="1">
        <v>0.05</v>
      </c>
      <c r="I955" s="1" t="s">
        <v>30</v>
      </c>
    </row>
    <row r="956" spans="1:9" x14ac:dyDescent="0.3">
      <c r="A956" s="1" t="s">
        <v>985</v>
      </c>
      <c r="B956" s="1" t="s">
        <v>13</v>
      </c>
      <c r="C956" s="2">
        <v>43284</v>
      </c>
      <c r="D956" s="1" t="s">
        <v>17</v>
      </c>
      <c r="E956" s="1">
        <v>9</v>
      </c>
      <c r="F956" s="1">
        <v>230</v>
      </c>
      <c r="G956" s="1">
        <v>2070</v>
      </c>
      <c r="H956" s="1">
        <v>0.03</v>
      </c>
      <c r="I956" s="1" t="s">
        <v>33</v>
      </c>
    </row>
    <row r="957" spans="1:9" x14ac:dyDescent="0.3">
      <c r="A957" s="1" t="s">
        <v>986</v>
      </c>
      <c r="B957" s="1" t="s">
        <v>25</v>
      </c>
      <c r="C957" s="2">
        <v>43284</v>
      </c>
      <c r="D957" s="1" t="s">
        <v>14</v>
      </c>
      <c r="E957" s="1">
        <v>23</v>
      </c>
      <c r="F957" s="1">
        <v>40</v>
      </c>
      <c r="G957" s="1">
        <v>920</v>
      </c>
      <c r="H957" s="1">
        <v>0.06</v>
      </c>
      <c r="I957" s="1" t="s">
        <v>35</v>
      </c>
    </row>
    <row r="958" spans="1:9" x14ac:dyDescent="0.3">
      <c r="A958" s="1" t="s">
        <v>987</v>
      </c>
      <c r="B958" s="1" t="s">
        <v>25</v>
      </c>
      <c r="C958" s="2">
        <v>43284</v>
      </c>
      <c r="D958" s="1" t="s">
        <v>14</v>
      </c>
      <c r="E958" s="1">
        <v>4</v>
      </c>
      <c r="F958" s="1">
        <v>40</v>
      </c>
      <c r="G958" s="1">
        <v>160</v>
      </c>
      <c r="H958" s="1">
        <v>0.05</v>
      </c>
      <c r="I958" s="1" t="s">
        <v>37</v>
      </c>
    </row>
    <row r="959" spans="1:9" x14ac:dyDescent="0.3">
      <c r="A959" s="1" t="s">
        <v>988</v>
      </c>
      <c r="B959" s="1" t="s">
        <v>9</v>
      </c>
      <c r="C959" s="2">
        <v>43284</v>
      </c>
      <c r="D959" s="1" t="s">
        <v>32</v>
      </c>
      <c r="E959" s="1">
        <v>13</v>
      </c>
      <c r="F959" s="1">
        <v>150</v>
      </c>
      <c r="G959" s="1">
        <v>1950</v>
      </c>
      <c r="H959" s="1">
        <v>0.05</v>
      </c>
      <c r="I959" s="1" t="s">
        <v>39</v>
      </c>
    </row>
    <row r="960" spans="1:9" x14ac:dyDescent="0.3">
      <c r="A960" s="1" t="s">
        <v>989</v>
      </c>
      <c r="B960" s="1" t="s">
        <v>13</v>
      </c>
      <c r="C960" s="2">
        <v>43284</v>
      </c>
      <c r="D960" s="1" t="s">
        <v>17</v>
      </c>
      <c r="E960" s="1">
        <v>7</v>
      </c>
      <c r="F960" s="1">
        <v>230</v>
      </c>
      <c r="G960" s="1">
        <v>1610</v>
      </c>
      <c r="H960" s="1">
        <v>0.01</v>
      </c>
      <c r="I960" s="1" t="s">
        <v>41</v>
      </c>
    </row>
    <row r="961" spans="1:9" x14ac:dyDescent="0.3">
      <c r="A961" s="1" t="s">
        <v>990</v>
      </c>
      <c r="B961" s="1" t="s">
        <v>13</v>
      </c>
      <c r="C961" s="2">
        <v>43284</v>
      </c>
      <c r="D961" s="1" t="s">
        <v>17</v>
      </c>
      <c r="E961" s="1">
        <v>7</v>
      </c>
      <c r="F961" s="1">
        <v>230</v>
      </c>
      <c r="G961" s="1">
        <v>1610</v>
      </c>
      <c r="H961" s="1">
        <v>0.08</v>
      </c>
      <c r="I961" s="1" t="s">
        <v>11</v>
      </c>
    </row>
    <row r="962" spans="1:9" x14ac:dyDescent="0.3">
      <c r="A962" s="1" t="s">
        <v>991</v>
      </c>
      <c r="B962" s="1" t="s">
        <v>22</v>
      </c>
      <c r="C962" s="2">
        <v>43284</v>
      </c>
      <c r="D962" s="1" t="s">
        <v>17</v>
      </c>
      <c r="E962" s="1">
        <v>15</v>
      </c>
      <c r="F962" s="1">
        <v>230</v>
      </c>
      <c r="G962" s="1">
        <v>3450</v>
      </c>
      <c r="H962" s="1">
        <v>0.04</v>
      </c>
      <c r="I962" s="1" t="s">
        <v>15</v>
      </c>
    </row>
    <row r="963" spans="1:9" x14ac:dyDescent="0.3">
      <c r="A963" s="1" t="s">
        <v>992</v>
      </c>
      <c r="B963" s="1" t="s">
        <v>25</v>
      </c>
      <c r="C963" s="2">
        <v>43284</v>
      </c>
      <c r="D963" s="1" t="s">
        <v>14</v>
      </c>
      <c r="E963" s="1">
        <v>15</v>
      </c>
      <c r="F963" s="1">
        <v>40</v>
      </c>
      <c r="G963" s="1">
        <v>600</v>
      </c>
      <c r="H963" s="1">
        <v>0.03</v>
      </c>
      <c r="I963" s="1" t="s">
        <v>18</v>
      </c>
    </row>
    <row r="964" spans="1:9" x14ac:dyDescent="0.3">
      <c r="A964" s="1" t="s">
        <v>993</v>
      </c>
      <c r="B964" s="1" t="s">
        <v>22</v>
      </c>
      <c r="C964" s="2">
        <v>43284</v>
      </c>
      <c r="D964" s="1" t="s">
        <v>14</v>
      </c>
      <c r="E964" s="1">
        <v>2</v>
      </c>
      <c r="F964" s="1">
        <v>40</v>
      </c>
      <c r="G964" s="1">
        <v>80</v>
      </c>
      <c r="H964" s="1">
        <v>0.03</v>
      </c>
      <c r="I964" s="1" t="s">
        <v>46</v>
      </c>
    </row>
    <row r="965" spans="1:9" x14ac:dyDescent="0.3">
      <c r="A965" s="1" t="s">
        <v>994</v>
      </c>
      <c r="B965" s="1" t="s">
        <v>22</v>
      </c>
      <c r="C965" s="2">
        <v>43284</v>
      </c>
      <c r="D965" s="1" t="s">
        <v>32</v>
      </c>
      <c r="E965" s="1">
        <v>2</v>
      </c>
      <c r="F965" s="1">
        <v>150</v>
      </c>
      <c r="G965" s="1">
        <v>300</v>
      </c>
      <c r="H965" s="1">
        <v>0.02</v>
      </c>
      <c r="I965" s="1" t="s">
        <v>23</v>
      </c>
    </row>
    <row r="966" spans="1:9" x14ac:dyDescent="0.3">
      <c r="A966" s="1" t="s">
        <v>995</v>
      </c>
      <c r="B966" s="1" t="s">
        <v>9</v>
      </c>
      <c r="C966" s="2">
        <v>43285</v>
      </c>
      <c r="D966" s="1" t="s">
        <v>17</v>
      </c>
      <c r="E966" s="1">
        <v>3</v>
      </c>
      <c r="F966" s="1">
        <v>230</v>
      </c>
      <c r="G966" s="1">
        <v>690</v>
      </c>
      <c r="H966" s="1">
        <v>0.11</v>
      </c>
      <c r="I966" s="1" t="s">
        <v>26</v>
      </c>
    </row>
    <row r="967" spans="1:9" x14ac:dyDescent="0.3">
      <c r="A967" s="1" t="s">
        <v>996</v>
      </c>
      <c r="B967" s="1" t="s">
        <v>22</v>
      </c>
      <c r="C967" s="2">
        <v>43285</v>
      </c>
      <c r="D967" s="1" t="s">
        <v>14</v>
      </c>
      <c r="E967" s="1">
        <v>4</v>
      </c>
      <c r="F967" s="1">
        <v>40</v>
      </c>
      <c r="G967" s="1">
        <v>160</v>
      </c>
      <c r="H967" s="1">
        <v>0.06</v>
      </c>
      <c r="I967" s="1" t="s">
        <v>15</v>
      </c>
    </row>
    <row r="968" spans="1:9" x14ac:dyDescent="0.3">
      <c r="A968" s="1" t="s">
        <v>997</v>
      </c>
      <c r="B968" s="1" t="s">
        <v>25</v>
      </c>
      <c r="C968" s="2">
        <v>43285</v>
      </c>
      <c r="D968" s="1" t="s">
        <v>14</v>
      </c>
      <c r="E968" s="1">
        <v>13</v>
      </c>
      <c r="F968" s="1">
        <v>40</v>
      </c>
      <c r="G968" s="1">
        <v>520</v>
      </c>
      <c r="H968" s="1">
        <v>0.06</v>
      </c>
      <c r="I968" s="1" t="s">
        <v>18</v>
      </c>
    </row>
    <row r="969" spans="1:9" x14ac:dyDescent="0.3">
      <c r="A969" s="1" t="s">
        <v>998</v>
      </c>
      <c r="B969" s="1" t="s">
        <v>25</v>
      </c>
      <c r="C969" s="2">
        <v>43285</v>
      </c>
      <c r="D969" s="1" t="s">
        <v>29</v>
      </c>
      <c r="E969" s="1">
        <v>15</v>
      </c>
      <c r="F969" s="1">
        <v>16</v>
      </c>
      <c r="G969" s="1">
        <v>240</v>
      </c>
      <c r="H969" s="1">
        <v>0.12</v>
      </c>
      <c r="I969" s="1" t="s">
        <v>46</v>
      </c>
    </row>
    <row r="970" spans="1:9" x14ac:dyDescent="0.3">
      <c r="A970" s="1" t="s">
        <v>999</v>
      </c>
      <c r="B970" s="1" t="s">
        <v>9</v>
      </c>
      <c r="C970" s="2">
        <v>43285</v>
      </c>
      <c r="D970" s="1" t="s">
        <v>10</v>
      </c>
      <c r="E970" s="1">
        <v>14</v>
      </c>
      <c r="F970" s="1">
        <v>80</v>
      </c>
      <c r="G970" s="1">
        <v>1120</v>
      </c>
      <c r="H970" s="1">
        <v>0.08</v>
      </c>
      <c r="I970" s="1" t="s">
        <v>23</v>
      </c>
    </row>
    <row r="971" spans="1:9" x14ac:dyDescent="0.3">
      <c r="A971" s="1" t="s">
        <v>1000</v>
      </c>
      <c r="B971" s="1" t="s">
        <v>9</v>
      </c>
      <c r="C971" s="2">
        <v>43285</v>
      </c>
      <c r="D971" s="1" t="s">
        <v>29</v>
      </c>
      <c r="E971" s="1">
        <v>7</v>
      </c>
      <c r="F971" s="1">
        <v>16</v>
      </c>
      <c r="G971" s="1">
        <v>112</v>
      </c>
      <c r="H971" s="1">
        <v>0.08</v>
      </c>
      <c r="I971" s="1" t="s">
        <v>26</v>
      </c>
    </row>
    <row r="972" spans="1:9" x14ac:dyDescent="0.3">
      <c r="A972" s="1" t="s">
        <v>1001</v>
      </c>
      <c r="B972" s="1" t="s">
        <v>13</v>
      </c>
      <c r="C972" s="2">
        <v>43285</v>
      </c>
      <c r="D972" s="1" t="s">
        <v>32</v>
      </c>
      <c r="E972" s="1">
        <v>13</v>
      </c>
      <c r="F972" s="1">
        <v>150</v>
      </c>
      <c r="G972" s="1">
        <v>1950</v>
      </c>
      <c r="H972" s="1">
        <v>0.02</v>
      </c>
      <c r="I972" s="1" t="s">
        <v>30</v>
      </c>
    </row>
    <row r="973" spans="1:9" x14ac:dyDescent="0.3">
      <c r="A973" s="1" t="s">
        <v>1002</v>
      </c>
      <c r="B973" s="1" t="s">
        <v>22</v>
      </c>
      <c r="C973" s="2">
        <v>43285</v>
      </c>
      <c r="D973" s="1" t="s">
        <v>32</v>
      </c>
      <c r="E973" s="1">
        <v>9</v>
      </c>
      <c r="F973" s="1">
        <v>150</v>
      </c>
      <c r="G973" s="1">
        <v>1350</v>
      </c>
      <c r="H973" s="1">
        <v>0.02</v>
      </c>
      <c r="I973" s="1" t="s">
        <v>33</v>
      </c>
    </row>
    <row r="974" spans="1:9" x14ac:dyDescent="0.3">
      <c r="A974" s="1" t="s">
        <v>1003</v>
      </c>
      <c r="B974" s="1" t="s">
        <v>9</v>
      </c>
      <c r="C974" s="2">
        <v>43285</v>
      </c>
      <c r="D974" s="1" t="s">
        <v>14</v>
      </c>
      <c r="E974" s="1">
        <v>9</v>
      </c>
      <c r="F974" s="1">
        <v>40</v>
      </c>
      <c r="G974" s="1">
        <v>360</v>
      </c>
      <c r="H974" s="1">
        <v>0.01</v>
      </c>
      <c r="I974" s="1" t="s">
        <v>35</v>
      </c>
    </row>
    <row r="975" spans="1:9" x14ac:dyDescent="0.3">
      <c r="A975" s="1" t="s">
        <v>1004</v>
      </c>
      <c r="B975" s="1" t="s">
        <v>28</v>
      </c>
      <c r="C975" s="2">
        <v>43286</v>
      </c>
      <c r="D975" s="1" t="s">
        <v>10</v>
      </c>
      <c r="E975" s="1">
        <v>9</v>
      </c>
      <c r="F975" s="1">
        <v>80</v>
      </c>
      <c r="G975" s="1">
        <v>720</v>
      </c>
      <c r="H975" s="1">
        <v>7.0000000000000007E-2</v>
      </c>
      <c r="I975" s="1" t="s">
        <v>37</v>
      </c>
    </row>
    <row r="976" spans="1:9" x14ac:dyDescent="0.3">
      <c r="A976" s="1" t="s">
        <v>1005</v>
      </c>
      <c r="B976" s="1" t="s">
        <v>13</v>
      </c>
      <c r="C976" s="2">
        <v>43286</v>
      </c>
      <c r="D976" s="1" t="s">
        <v>17</v>
      </c>
      <c r="E976" s="1">
        <v>22</v>
      </c>
      <c r="F976" s="1">
        <v>230</v>
      </c>
      <c r="G976" s="1">
        <v>5060</v>
      </c>
      <c r="H976" s="1">
        <v>0.11</v>
      </c>
      <c r="I976" s="1" t="s">
        <v>39</v>
      </c>
    </row>
    <row r="977" spans="1:9" x14ac:dyDescent="0.3">
      <c r="A977" s="1" t="s">
        <v>1006</v>
      </c>
      <c r="B977" s="1" t="s">
        <v>13</v>
      </c>
      <c r="C977" s="2">
        <v>43286</v>
      </c>
      <c r="D977" s="1" t="s">
        <v>32</v>
      </c>
      <c r="E977" s="1">
        <v>15</v>
      </c>
      <c r="F977" s="1">
        <v>150</v>
      </c>
      <c r="G977" s="1">
        <v>2250</v>
      </c>
      <c r="H977" s="1">
        <v>0.02</v>
      </c>
      <c r="I977" s="1" t="s">
        <v>41</v>
      </c>
    </row>
    <row r="978" spans="1:9" x14ac:dyDescent="0.3">
      <c r="A978" s="1" t="s">
        <v>1007</v>
      </c>
      <c r="B978" s="1" t="s">
        <v>28</v>
      </c>
      <c r="C978" s="2">
        <v>43286</v>
      </c>
      <c r="D978" s="1" t="s">
        <v>17</v>
      </c>
      <c r="E978" s="1">
        <v>5</v>
      </c>
      <c r="F978" s="1">
        <v>230</v>
      </c>
      <c r="G978" s="1">
        <v>1150</v>
      </c>
      <c r="H978" s="1">
        <v>0.12</v>
      </c>
      <c r="I978" s="1" t="s">
        <v>11</v>
      </c>
    </row>
    <row r="979" spans="1:9" x14ac:dyDescent="0.3">
      <c r="A979" s="1" t="s">
        <v>1008</v>
      </c>
      <c r="B979" s="1" t="s">
        <v>22</v>
      </c>
      <c r="C979" s="2">
        <v>43286</v>
      </c>
      <c r="D979" s="1" t="s">
        <v>14</v>
      </c>
      <c r="E979" s="1">
        <v>20</v>
      </c>
      <c r="F979" s="1">
        <v>40</v>
      </c>
      <c r="G979" s="1">
        <v>800</v>
      </c>
      <c r="H979" s="1">
        <v>0.01</v>
      </c>
      <c r="I979" s="1" t="s">
        <v>15</v>
      </c>
    </row>
    <row r="980" spans="1:9" x14ac:dyDescent="0.3">
      <c r="A980" s="1" t="s">
        <v>1009</v>
      </c>
      <c r="B980" s="1" t="s">
        <v>9</v>
      </c>
      <c r="C980" s="2">
        <v>43286</v>
      </c>
      <c r="D980" s="1" t="s">
        <v>14</v>
      </c>
      <c r="E980" s="1">
        <v>23</v>
      </c>
      <c r="F980" s="1">
        <v>40</v>
      </c>
      <c r="G980" s="1">
        <v>920</v>
      </c>
      <c r="H980" s="1">
        <v>0.03</v>
      </c>
      <c r="I980" s="1" t="s">
        <v>18</v>
      </c>
    </row>
    <row r="981" spans="1:9" x14ac:dyDescent="0.3">
      <c r="A981" s="1" t="s">
        <v>1010</v>
      </c>
      <c r="B981" s="1" t="s">
        <v>28</v>
      </c>
      <c r="C981" s="2">
        <v>43286</v>
      </c>
      <c r="D981" s="1" t="s">
        <v>10</v>
      </c>
      <c r="E981" s="1">
        <v>16</v>
      </c>
      <c r="F981" s="1">
        <v>80</v>
      </c>
      <c r="G981" s="1">
        <v>1280</v>
      </c>
      <c r="H981" s="1">
        <v>0.05</v>
      </c>
      <c r="I981" s="1" t="s">
        <v>46</v>
      </c>
    </row>
    <row r="982" spans="1:9" x14ac:dyDescent="0.3">
      <c r="A982" s="1" t="s">
        <v>1011</v>
      </c>
      <c r="B982" s="1" t="s">
        <v>22</v>
      </c>
      <c r="C982" s="2">
        <v>43286</v>
      </c>
      <c r="D982" s="1" t="s">
        <v>17</v>
      </c>
      <c r="E982" s="1">
        <v>18</v>
      </c>
      <c r="F982" s="1">
        <v>230</v>
      </c>
      <c r="G982" s="1">
        <v>4140</v>
      </c>
      <c r="H982" s="1">
        <v>0.01</v>
      </c>
      <c r="I982" s="1" t="s">
        <v>23</v>
      </c>
    </row>
    <row r="983" spans="1:9" x14ac:dyDescent="0.3">
      <c r="A983" s="1" t="s">
        <v>1012</v>
      </c>
      <c r="B983" s="1" t="s">
        <v>28</v>
      </c>
      <c r="C983" s="2">
        <v>43286</v>
      </c>
      <c r="D983" s="1" t="s">
        <v>14</v>
      </c>
      <c r="E983" s="1">
        <v>23</v>
      </c>
      <c r="F983" s="1">
        <v>40</v>
      </c>
      <c r="G983" s="1">
        <v>920</v>
      </c>
      <c r="H983" s="1">
        <v>0.05</v>
      </c>
      <c r="I983" s="1" t="s">
        <v>26</v>
      </c>
    </row>
    <row r="984" spans="1:9" x14ac:dyDescent="0.3">
      <c r="A984" s="1" t="s">
        <v>1013</v>
      </c>
      <c r="B984" s="1" t="s">
        <v>25</v>
      </c>
      <c r="C984" s="2">
        <v>43286</v>
      </c>
      <c r="D984" s="1" t="s">
        <v>29</v>
      </c>
      <c r="E984" s="1">
        <v>5</v>
      </c>
      <c r="F984" s="1">
        <v>16</v>
      </c>
      <c r="G984" s="1">
        <v>80</v>
      </c>
      <c r="H984" s="1">
        <v>0.09</v>
      </c>
      <c r="I984" s="1" t="s">
        <v>15</v>
      </c>
    </row>
    <row r="985" spans="1:9" x14ac:dyDescent="0.3">
      <c r="A985" s="1" t="s">
        <v>1014</v>
      </c>
      <c r="B985" s="1" t="s">
        <v>9</v>
      </c>
      <c r="C985" s="2">
        <v>43286</v>
      </c>
      <c r="D985" s="1" t="s">
        <v>14</v>
      </c>
      <c r="E985" s="1">
        <v>22</v>
      </c>
      <c r="F985" s="1">
        <v>40</v>
      </c>
      <c r="G985" s="1">
        <v>880</v>
      </c>
      <c r="H985" s="1">
        <v>0.02</v>
      </c>
      <c r="I985" s="1" t="s">
        <v>18</v>
      </c>
    </row>
    <row r="986" spans="1:9" x14ac:dyDescent="0.3">
      <c r="A986" s="1" t="s">
        <v>1015</v>
      </c>
      <c r="B986" s="1" t="s">
        <v>9</v>
      </c>
      <c r="C986" s="2">
        <v>43287</v>
      </c>
      <c r="D986" s="1" t="s">
        <v>32</v>
      </c>
      <c r="E986" s="1">
        <v>23</v>
      </c>
      <c r="F986" s="1">
        <v>150</v>
      </c>
      <c r="G986" s="1">
        <v>3450</v>
      </c>
      <c r="H986" s="1">
        <v>0.1</v>
      </c>
      <c r="I986" s="1" t="s">
        <v>46</v>
      </c>
    </row>
    <row r="987" spans="1:9" x14ac:dyDescent="0.3">
      <c r="A987" s="1" t="s">
        <v>1016</v>
      </c>
      <c r="B987" s="1" t="s">
        <v>13</v>
      </c>
      <c r="C987" s="2">
        <v>43287</v>
      </c>
      <c r="D987" s="1" t="s">
        <v>17</v>
      </c>
      <c r="E987" s="1">
        <v>22</v>
      </c>
      <c r="F987" s="1">
        <v>230</v>
      </c>
      <c r="G987" s="1">
        <v>5060</v>
      </c>
      <c r="H987" s="1">
        <v>0.04</v>
      </c>
      <c r="I987" s="1" t="s">
        <v>23</v>
      </c>
    </row>
    <row r="988" spans="1:9" x14ac:dyDescent="0.3">
      <c r="A988" s="1" t="s">
        <v>1017</v>
      </c>
      <c r="B988" s="1" t="s">
        <v>25</v>
      </c>
      <c r="C988" s="2">
        <v>43287</v>
      </c>
      <c r="D988" s="1" t="s">
        <v>10</v>
      </c>
      <c r="E988" s="1">
        <v>16</v>
      </c>
      <c r="F988" s="1">
        <v>80</v>
      </c>
      <c r="G988" s="1">
        <v>1280</v>
      </c>
      <c r="H988" s="1">
        <v>7.0000000000000007E-2</v>
      </c>
      <c r="I988" s="1" t="s">
        <v>26</v>
      </c>
    </row>
    <row r="989" spans="1:9" x14ac:dyDescent="0.3">
      <c r="A989" s="1" t="s">
        <v>1018</v>
      </c>
      <c r="B989" s="1" t="s">
        <v>22</v>
      </c>
      <c r="C989" s="2">
        <v>43287</v>
      </c>
      <c r="D989" s="1" t="s">
        <v>32</v>
      </c>
      <c r="E989" s="1">
        <v>22</v>
      </c>
      <c r="F989" s="1">
        <v>150</v>
      </c>
      <c r="G989" s="1">
        <v>3300</v>
      </c>
      <c r="H989" s="1">
        <v>0.09</v>
      </c>
      <c r="I989" s="1" t="s">
        <v>30</v>
      </c>
    </row>
    <row r="990" spans="1:9" x14ac:dyDescent="0.3">
      <c r="A990" s="1" t="s">
        <v>1019</v>
      </c>
      <c r="B990" s="1" t="s">
        <v>22</v>
      </c>
      <c r="C990" s="2">
        <v>43287</v>
      </c>
      <c r="D990" s="1" t="s">
        <v>10</v>
      </c>
      <c r="E990" s="1">
        <v>5</v>
      </c>
      <c r="F990" s="1">
        <v>80</v>
      </c>
      <c r="G990" s="1">
        <v>400</v>
      </c>
      <c r="H990" s="1">
        <v>0.09</v>
      </c>
      <c r="I990" s="1" t="s">
        <v>33</v>
      </c>
    </row>
    <row r="991" spans="1:9" x14ac:dyDescent="0.3">
      <c r="A991" s="1" t="s">
        <v>1020</v>
      </c>
      <c r="B991" s="1" t="s">
        <v>25</v>
      </c>
      <c r="C991" s="2">
        <v>43287</v>
      </c>
      <c r="D991" s="1" t="s">
        <v>10</v>
      </c>
      <c r="E991" s="1">
        <v>16</v>
      </c>
      <c r="F991" s="1">
        <v>80</v>
      </c>
      <c r="G991" s="1">
        <v>1280</v>
      </c>
      <c r="H991" s="1">
        <v>0.1</v>
      </c>
      <c r="I991" s="1" t="s">
        <v>35</v>
      </c>
    </row>
    <row r="992" spans="1:9" x14ac:dyDescent="0.3">
      <c r="A992" s="1" t="s">
        <v>1021</v>
      </c>
      <c r="B992" s="1" t="s">
        <v>13</v>
      </c>
      <c r="C992" s="2">
        <v>43287</v>
      </c>
      <c r="D992" s="1" t="s">
        <v>32</v>
      </c>
      <c r="E992" s="1">
        <v>23</v>
      </c>
      <c r="F992" s="1">
        <v>150</v>
      </c>
      <c r="G992" s="1">
        <v>3450</v>
      </c>
      <c r="H992" s="1">
        <v>0.11</v>
      </c>
      <c r="I992" s="1" t="s">
        <v>37</v>
      </c>
    </row>
    <row r="993" spans="1:9" x14ac:dyDescent="0.3">
      <c r="A993" s="1" t="s">
        <v>1022</v>
      </c>
      <c r="B993" s="1" t="s">
        <v>13</v>
      </c>
      <c r="C993" s="2">
        <v>43287</v>
      </c>
      <c r="D993" s="1" t="s">
        <v>29</v>
      </c>
      <c r="E993" s="1">
        <v>4</v>
      </c>
      <c r="F993" s="1">
        <v>16</v>
      </c>
      <c r="G993" s="1">
        <v>64</v>
      </c>
      <c r="H993" s="1">
        <v>0.09</v>
      </c>
      <c r="I993" s="1" t="s">
        <v>39</v>
      </c>
    </row>
    <row r="994" spans="1:9" x14ac:dyDescent="0.3">
      <c r="A994" s="1" t="s">
        <v>1023</v>
      </c>
      <c r="B994" s="1" t="s">
        <v>13</v>
      </c>
      <c r="C994" s="2">
        <v>43287</v>
      </c>
      <c r="D994" s="1" t="s">
        <v>29</v>
      </c>
      <c r="E994" s="1">
        <v>4</v>
      </c>
      <c r="F994" s="1">
        <v>16</v>
      </c>
      <c r="G994" s="1">
        <v>64</v>
      </c>
      <c r="H994" s="1">
        <v>7.0000000000000007E-2</v>
      </c>
      <c r="I994" s="1" t="s">
        <v>41</v>
      </c>
    </row>
    <row r="995" spans="1:9" x14ac:dyDescent="0.3">
      <c r="A995" s="1" t="s">
        <v>1024</v>
      </c>
      <c r="B995" s="1" t="s">
        <v>9</v>
      </c>
      <c r="C995" s="2">
        <v>43287</v>
      </c>
      <c r="D995" s="1" t="s">
        <v>29</v>
      </c>
      <c r="E995" s="1">
        <v>16</v>
      </c>
      <c r="F995" s="1">
        <v>16</v>
      </c>
      <c r="G995" s="1">
        <v>256</v>
      </c>
      <c r="H995" s="1">
        <v>0.03</v>
      </c>
      <c r="I995" s="1" t="s">
        <v>11</v>
      </c>
    </row>
    <row r="996" spans="1:9" x14ac:dyDescent="0.3">
      <c r="A996" s="1" t="s">
        <v>1025</v>
      </c>
      <c r="B996" s="1" t="s">
        <v>25</v>
      </c>
      <c r="C996" s="2">
        <v>43287</v>
      </c>
      <c r="D996" s="1" t="s">
        <v>14</v>
      </c>
      <c r="E996" s="1">
        <v>18</v>
      </c>
      <c r="F996" s="1">
        <v>40</v>
      </c>
      <c r="G996" s="1">
        <v>720</v>
      </c>
      <c r="H996" s="1">
        <v>0.04</v>
      </c>
      <c r="I996" s="1" t="s">
        <v>15</v>
      </c>
    </row>
    <row r="997" spans="1:9" x14ac:dyDescent="0.3">
      <c r="A997" s="1" t="s">
        <v>1026</v>
      </c>
      <c r="B997" s="1" t="s">
        <v>25</v>
      </c>
      <c r="C997" s="2">
        <v>43287</v>
      </c>
      <c r="D997" s="1" t="s">
        <v>10</v>
      </c>
      <c r="E997" s="1">
        <v>21</v>
      </c>
      <c r="F997" s="1">
        <v>80</v>
      </c>
      <c r="G997" s="1">
        <v>1680</v>
      </c>
      <c r="H997" s="1">
        <v>0.02</v>
      </c>
      <c r="I997" s="1" t="s">
        <v>18</v>
      </c>
    </row>
    <row r="998" spans="1:9" x14ac:dyDescent="0.3">
      <c r="A998" s="1" t="s">
        <v>1027</v>
      </c>
      <c r="B998" s="1" t="s">
        <v>28</v>
      </c>
      <c r="C998" s="2">
        <v>43287</v>
      </c>
      <c r="D998" s="1" t="s">
        <v>10</v>
      </c>
      <c r="E998" s="1">
        <v>10</v>
      </c>
      <c r="F998" s="1">
        <v>80</v>
      </c>
      <c r="G998" s="1">
        <v>800</v>
      </c>
      <c r="H998" s="1">
        <v>0.06</v>
      </c>
      <c r="I998" s="1" t="s">
        <v>46</v>
      </c>
    </row>
    <row r="999" spans="1:9" x14ac:dyDescent="0.3">
      <c r="A999" s="1" t="s">
        <v>1028</v>
      </c>
      <c r="B999" s="1" t="s">
        <v>22</v>
      </c>
      <c r="C999" s="2">
        <v>43287</v>
      </c>
      <c r="D999" s="1" t="s">
        <v>17</v>
      </c>
      <c r="E999" s="1">
        <v>7</v>
      </c>
      <c r="F999" s="1">
        <v>230</v>
      </c>
      <c r="G999" s="1">
        <v>1610</v>
      </c>
      <c r="H999" s="1">
        <v>0.01</v>
      </c>
      <c r="I999" s="1" t="s">
        <v>23</v>
      </c>
    </row>
    <row r="1000" spans="1:9" x14ac:dyDescent="0.3">
      <c r="A1000" s="1" t="s">
        <v>1029</v>
      </c>
      <c r="B1000" s="1" t="s">
        <v>28</v>
      </c>
      <c r="C1000" s="2">
        <v>43288</v>
      </c>
      <c r="D1000" s="1" t="s">
        <v>29</v>
      </c>
      <c r="E1000" s="1">
        <v>11</v>
      </c>
      <c r="F1000" s="1">
        <v>16</v>
      </c>
      <c r="G1000" s="1">
        <v>176</v>
      </c>
      <c r="H1000" s="1">
        <v>0.12</v>
      </c>
      <c r="I1000" s="1" t="s">
        <v>26</v>
      </c>
    </row>
    <row r="1001" spans="1:9" x14ac:dyDescent="0.3">
      <c r="A1001" s="1" t="s">
        <v>1030</v>
      </c>
      <c r="B1001" s="1" t="s">
        <v>25</v>
      </c>
      <c r="C1001" s="2">
        <v>43288</v>
      </c>
      <c r="D1001" s="1" t="s">
        <v>10</v>
      </c>
      <c r="E1001" s="1">
        <v>10</v>
      </c>
      <c r="F1001" s="1">
        <v>80</v>
      </c>
      <c r="G1001" s="1">
        <v>800</v>
      </c>
      <c r="H1001" s="1">
        <v>0.1</v>
      </c>
      <c r="I1001" s="1" t="s">
        <v>15</v>
      </c>
    </row>
    <row r="1002" spans="1:9" x14ac:dyDescent="0.3">
      <c r="A1002" s="1" t="s">
        <v>1031</v>
      </c>
      <c r="B1002" s="1" t="s">
        <v>13</v>
      </c>
      <c r="C1002" s="2">
        <v>43288</v>
      </c>
      <c r="D1002" s="1" t="s">
        <v>14</v>
      </c>
      <c r="E1002" s="1">
        <v>23</v>
      </c>
      <c r="F1002" s="1">
        <v>40</v>
      </c>
      <c r="G1002" s="1">
        <v>920</v>
      </c>
      <c r="H1002" s="1">
        <v>0.06</v>
      </c>
      <c r="I1002" s="1" t="s">
        <v>18</v>
      </c>
    </row>
    <row r="1003" spans="1:9" x14ac:dyDescent="0.3">
      <c r="A1003" s="1" t="s">
        <v>1032</v>
      </c>
      <c r="B1003" s="1" t="s">
        <v>28</v>
      </c>
      <c r="C1003" s="2">
        <v>43288</v>
      </c>
      <c r="D1003" s="1" t="s">
        <v>32</v>
      </c>
      <c r="E1003" s="1">
        <v>7</v>
      </c>
      <c r="F1003" s="1">
        <v>150</v>
      </c>
      <c r="G1003" s="1">
        <v>1050</v>
      </c>
      <c r="H1003" s="1">
        <v>0.02</v>
      </c>
      <c r="I1003" s="1" t="s">
        <v>46</v>
      </c>
    </row>
    <row r="1004" spans="1:9" x14ac:dyDescent="0.3">
      <c r="A1004" s="1" t="s">
        <v>1033</v>
      </c>
      <c r="B1004" s="1" t="s">
        <v>9</v>
      </c>
      <c r="C1004" s="2">
        <v>43288</v>
      </c>
      <c r="D1004" s="1" t="s">
        <v>10</v>
      </c>
      <c r="E1004" s="1">
        <v>17</v>
      </c>
      <c r="F1004" s="1">
        <v>80</v>
      </c>
      <c r="G1004" s="1">
        <v>1360</v>
      </c>
      <c r="H1004" s="1">
        <v>7.0000000000000007E-2</v>
      </c>
      <c r="I1004" s="1" t="s">
        <v>23</v>
      </c>
    </row>
    <row r="1005" spans="1:9" x14ac:dyDescent="0.3">
      <c r="A1005" s="1" t="s">
        <v>1034</v>
      </c>
      <c r="B1005" s="1" t="s">
        <v>13</v>
      </c>
      <c r="C1005" s="2">
        <v>43288</v>
      </c>
      <c r="D1005" s="1" t="s">
        <v>32</v>
      </c>
      <c r="E1005" s="1">
        <v>20</v>
      </c>
      <c r="F1005" s="1">
        <v>150</v>
      </c>
      <c r="G1005" s="1">
        <v>3000</v>
      </c>
      <c r="H1005" s="1">
        <v>0.09</v>
      </c>
      <c r="I1005" s="1" t="s">
        <v>26</v>
      </c>
    </row>
    <row r="1006" spans="1:9" x14ac:dyDescent="0.3">
      <c r="A1006" s="1" t="s">
        <v>1035</v>
      </c>
      <c r="B1006" s="1" t="s">
        <v>25</v>
      </c>
      <c r="C1006" s="2">
        <v>43288</v>
      </c>
      <c r="D1006" s="1" t="s">
        <v>17</v>
      </c>
      <c r="E1006" s="1">
        <v>23</v>
      </c>
      <c r="F1006" s="1">
        <v>230</v>
      </c>
      <c r="G1006" s="1">
        <v>5290</v>
      </c>
      <c r="H1006" s="1">
        <v>0.06</v>
      </c>
      <c r="I1006" s="1" t="s">
        <v>30</v>
      </c>
    </row>
    <row r="1007" spans="1:9" x14ac:dyDescent="0.3">
      <c r="A1007" s="1" t="s">
        <v>1036</v>
      </c>
      <c r="B1007" s="1" t="s">
        <v>13</v>
      </c>
      <c r="C1007" s="2">
        <v>43288</v>
      </c>
      <c r="D1007" s="1" t="s">
        <v>10</v>
      </c>
      <c r="E1007" s="1">
        <v>16</v>
      </c>
      <c r="F1007" s="1">
        <v>80</v>
      </c>
      <c r="G1007" s="1">
        <v>1280</v>
      </c>
      <c r="H1007" s="1">
        <v>0.04</v>
      </c>
      <c r="I1007" s="1" t="s">
        <v>33</v>
      </c>
    </row>
    <row r="1008" spans="1:9" x14ac:dyDescent="0.3">
      <c r="A1008" s="1" t="s">
        <v>1037</v>
      </c>
      <c r="B1008" s="1" t="s">
        <v>28</v>
      </c>
      <c r="C1008" s="2">
        <v>43288</v>
      </c>
      <c r="D1008" s="1" t="s">
        <v>17</v>
      </c>
      <c r="E1008" s="1">
        <v>22</v>
      </c>
      <c r="F1008" s="1">
        <v>230</v>
      </c>
      <c r="G1008" s="1">
        <v>5060</v>
      </c>
      <c r="H1008" s="1">
        <v>0.1</v>
      </c>
      <c r="I1008" s="1" t="s">
        <v>35</v>
      </c>
    </row>
    <row r="1009" spans="1:9" x14ac:dyDescent="0.3">
      <c r="A1009" s="1" t="s">
        <v>1038</v>
      </c>
      <c r="B1009" s="1" t="s">
        <v>22</v>
      </c>
      <c r="C1009" s="2">
        <v>43288</v>
      </c>
      <c r="D1009" s="1" t="s">
        <v>17</v>
      </c>
      <c r="E1009" s="1">
        <v>15</v>
      </c>
      <c r="F1009" s="1">
        <v>230</v>
      </c>
      <c r="G1009" s="1">
        <v>3450</v>
      </c>
      <c r="H1009" s="1">
        <v>0.11</v>
      </c>
      <c r="I1009" s="1" t="s">
        <v>37</v>
      </c>
    </row>
    <row r="1010" spans="1:9" x14ac:dyDescent="0.3">
      <c r="A1010" s="1" t="s">
        <v>1039</v>
      </c>
      <c r="B1010" s="1" t="s">
        <v>13</v>
      </c>
      <c r="C1010" s="2">
        <v>43288</v>
      </c>
      <c r="D1010" s="1" t="s">
        <v>14</v>
      </c>
      <c r="E1010" s="1">
        <v>15</v>
      </c>
      <c r="F1010" s="1">
        <v>40</v>
      </c>
      <c r="G1010" s="1">
        <v>600</v>
      </c>
      <c r="H1010" s="1">
        <v>0.04</v>
      </c>
      <c r="I1010" s="1" t="s">
        <v>39</v>
      </c>
    </row>
    <row r="1011" spans="1:9" x14ac:dyDescent="0.3">
      <c r="A1011" s="1" t="s">
        <v>1040</v>
      </c>
      <c r="B1011" s="1" t="s">
        <v>13</v>
      </c>
      <c r="C1011" s="2">
        <v>43288</v>
      </c>
      <c r="D1011" s="1" t="s">
        <v>10</v>
      </c>
      <c r="E1011" s="1">
        <v>2</v>
      </c>
      <c r="F1011" s="1">
        <v>80</v>
      </c>
      <c r="G1011" s="1">
        <v>160</v>
      </c>
      <c r="H1011" s="1">
        <v>7.0000000000000007E-2</v>
      </c>
      <c r="I1011" s="1" t="s">
        <v>41</v>
      </c>
    </row>
    <row r="1012" spans="1:9" x14ac:dyDescent="0.3">
      <c r="A1012" s="1" t="s">
        <v>1041</v>
      </c>
      <c r="B1012" s="1" t="s">
        <v>9</v>
      </c>
      <c r="C1012" s="2">
        <v>43289</v>
      </c>
      <c r="D1012" s="1" t="s">
        <v>32</v>
      </c>
      <c r="E1012" s="1">
        <v>22</v>
      </c>
      <c r="F1012" s="1">
        <v>150</v>
      </c>
      <c r="G1012" s="1">
        <v>3300</v>
      </c>
      <c r="H1012" s="1">
        <v>0.05</v>
      </c>
      <c r="I1012" s="1" t="s">
        <v>11</v>
      </c>
    </row>
    <row r="1013" spans="1:9" x14ac:dyDescent="0.3">
      <c r="A1013" s="1" t="s">
        <v>1042</v>
      </c>
      <c r="B1013" s="1" t="s">
        <v>28</v>
      </c>
      <c r="C1013" s="2">
        <v>43289</v>
      </c>
      <c r="D1013" s="1" t="s">
        <v>14</v>
      </c>
      <c r="E1013" s="1">
        <v>20</v>
      </c>
      <c r="F1013" s="1">
        <v>40</v>
      </c>
      <c r="G1013" s="1">
        <v>800</v>
      </c>
      <c r="H1013" s="1">
        <v>7.0000000000000007E-2</v>
      </c>
      <c r="I1013" s="1" t="s">
        <v>15</v>
      </c>
    </row>
    <row r="1014" spans="1:9" x14ac:dyDescent="0.3">
      <c r="A1014" s="1" t="s">
        <v>1043</v>
      </c>
      <c r="B1014" s="1" t="s">
        <v>25</v>
      </c>
      <c r="C1014" s="2">
        <v>43289</v>
      </c>
      <c r="D1014" s="1" t="s">
        <v>17</v>
      </c>
      <c r="E1014" s="1">
        <v>2</v>
      </c>
      <c r="F1014" s="1">
        <v>230</v>
      </c>
      <c r="G1014" s="1">
        <v>460</v>
      </c>
      <c r="H1014" s="1">
        <v>0.09</v>
      </c>
      <c r="I1014" s="1" t="s">
        <v>18</v>
      </c>
    </row>
    <row r="1015" spans="1:9" x14ac:dyDescent="0.3">
      <c r="A1015" s="1" t="s">
        <v>1044</v>
      </c>
      <c r="B1015" s="1" t="s">
        <v>25</v>
      </c>
      <c r="C1015" s="2">
        <v>43289</v>
      </c>
      <c r="D1015" s="1" t="s">
        <v>14</v>
      </c>
      <c r="E1015" s="1">
        <v>7</v>
      </c>
      <c r="F1015" s="1">
        <v>40</v>
      </c>
      <c r="G1015" s="1">
        <v>280</v>
      </c>
      <c r="H1015" s="1">
        <v>0.11</v>
      </c>
      <c r="I1015" s="1" t="s">
        <v>46</v>
      </c>
    </row>
    <row r="1016" spans="1:9" x14ac:dyDescent="0.3">
      <c r="A1016" s="1" t="s">
        <v>1045</v>
      </c>
      <c r="B1016" s="1" t="s">
        <v>25</v>
      </c>
      <c r="C1016" s="2">
        <v>43289</v>
      </c>
      <c r="D1016" s="1" t="s">
        <v>10</v>
      </c>
      <c r="E1016" s="1">
        <v>7</v>
      </c>
      <c r="F1016" s="1">
        <v>80</v>
      </c>
      <c r="G1016" s="1">
        <v>560</v>
      </c>
      <c r="H1016" s="1">
        <v>7.0000000000000007E-2</v>
      </c>
      <c r="I1016" s="1" t="s">
        <v>23</v>
      </c>
    </row>
    <row r="1017" spans="1:9" x14ac:dyDescent="0.3">
      <c r="A1017" s="1" t="s">
        <v>1046</v>
      </c>
      <c r="B1017" s="1" t="s">
        <v>25</v>
      </c>
      <c r="C1017" s="2">
        <v>43289</v>
      </c>
      <c r="D1017" s="1" t="s">
        <v>14</v>
      </c>
      <c r="E1017" s="1">
        <v>9</v>
      </c>
      <c r="F1017" s="1">
        <v>40</v>
      </c>
      <c r="G1017" s="1">
        <v>360</v>
      </c>
      <c r="H1017" s="1">
        <v>0.06</v>
      </c>
      <c r="I1017" s="1" t="s">
        <v>26</v>
      </c>
    </row>
    <row r="1018" spans="1:9" x14ac:dyDescent="0.3">
      <c r="A1018" s="1" t="s">
        <v>1047</v>
      </c>
      <c r="B1018" s="1" t="s">
        <v>9</v>
      </c>
      <c r="C1018" s="2">
        <v>43289</v>
      </c>
      <c r="D1018" s="1" t="s">
        <v>14</v>
      </c>
      <c r="E1018" s="1">
        <v>18</v>
      </c>
      <c r="F1018" s="1">
        <v>40</v>
      </c>
      <c r="G1018" s="1">
        <v>720</v>
      </c>
      <c r="H1018" s="1">
        <v>0.11</v>
      </c>
      <c r="I1018" s="1" t="s">
        <v>15</v>
      </c>
    </row>
    <row r="1019" spans="1:9" x14ac:dyDescent="0.3">
      <c r="A1019" s="1" t="s">
        <v>1048</v>
      </c>
      <c r="B1019" s="1" t="s">
        <v>9</v>
      </c>
      <c r="C1019" s="2">
        <v>43289</v>
      </c>
      <c r="D1019" s="1" t="s">
        <v>17</v>
      </c>
      <c r="E1019" s="1">
        <v>20</v>
      </c>
      <c r="F1019" s="1">
        <v>230</v>
      </c>
      <c r="G1019" s="1">
        <v>4600</v>
      </c>
      <c r="H1019" s="1">
        <v>0.04</v>
      </c>
      <c r="I1019" s="1" t="s">
        <v>18</v>
      </c>
    </row>
    <row r="1020" spans="1:9" x14ac:dyDescent="0.3">
      <c r="A1020" s="1" t="s">
        <v>1049</v>
      </c>
      <c r="B1020" s="1" t="s">
        <v>22</v>
      </c>
      <c r="C1020" s="2">
        <v>43289</v>
      </c>
      <c r="D1020" s="1" t="s">
        <v>10</v>
      </c>
      <c r="E1020" s="1">
        <v>23</v>
      </c>
      <c r="F1020" s="1">
        <v>80</v>
      </c>
      <c r="G1020" s="1">
        <v>1840</v>
      </c>
      <c r="H1020" s="1">
        <v>0.05</v>
      </c>
      <c r="I1020" s="1" t="s">
        <v>46</v>
      </c>
    </row>
    <row r="1021" spans="1:9" x14ac:dyDescent="0.3">
      <c r="A1021" s="1" t="s">
        <v>1050</v>
      </c>
      <c r="B1021" s="1" t="s">
        <v>28</v>
      </c>
      <c r="C1021" s="2">
        <v>43289</v>
      </c>
      <c r="D1021" s="1" t="s">
        <v>32</v>
      </c>
      <c r="E1021" s="1">
        <v>11</v>
      </c>
      <c r="F1021" s="1">
        <v>150</v>
      </c>
      <c r="G1021" s="1">
        <v>1650</v>
      </c>
      <c r="H1021" s="1">
        <v>0.09</v>
      </c>
      <c r="I1021" s="1" t="s">
        <v>23</v>
      </c>
    </row>
    <row r="1022" spans="1:9" x14ac:dyDescent="0.3">
      <c r="A1022" s="1" t="s">
        <v>1051</v>
      </c>
      <c r="B1022" s="1" t="s">
        <v>9</v>
      </c>
      <c r="C1022" s="2">
        <v>43289</v>
      </c>
      <c r="D1022" s="1" t="s">
        <v>32</v>
      </c>
      <c r="E1022" s="1">
        <v>17</v>
      </c>
      <c r="F1022" s="1">
        <v>150</v>
      </c>
      <c r="G1022" s="1">
        <v>2550</v>
      </c>
      <c r="H1022" s="1">
        <v>0.12</v>
      </c>
      <c r="I1022" s="1" t="s">
        <v>26</v>
      </c>
    </row>
    <row r="1023" spans="1:9" x14ac:dyDescent="0.3">
      <c r="A1023" s="1" t="s">
        <v>1052</v>
      </c>
      <c r="B1023" s="1" t="s">
        <v>28</v>
      </c>
      <c r="C1023" s="2">
        <v>43289</v>
      </c>
      <c r="D1023" s="1" t="s">
        <v>17</v>
      </c>
      <c r="E1023" s="1">
        <v>2</v>
      </c>
      <c r="F1023" s="1">
        <v>230</v>
      </c>
      <c r="G1023" s="1">
        <v>460</v>
      </c>
      <c r="H1023" s="1">
        <v>0.08</v>
      </c>
      <c r="I1023" s="1" t="s">
        <v>30</v>
      </c>
    </row>
    <row r="1024" spans="1:9" x14ac:dyDescent="0.3">
      <c r="A1024" s="1" t="s">
        <v>1053</v>
      </c>
      <c r="B1024" s="1" t="s">
        <v>22</v>
      </c>
      <c r="C1024" s="2">
        <v>43289</v>
      </c>
      <c r="D1024" s="1" t="s">
        <v>10</v>
      </c>
      <c r="E1024" s="1">
        <v>10</v>
      </c>
      <c r="F1024" s="1">
        <v>80</v>
      </c>
      <c r="G1024" s="1">
        <v>800</v>
      </c>
      <c r="H1024" s="1">
        <v>0.11</v>
      </c>
      <c r="I1024" s="1" t="s">
        <v>33</v>
      </c>
    </row>
    <row r="1025" spans="1:9" x14ac:dyDescent="0.3">
      <c r="A1025" s="1" t="s">
        <v>1054</v>
      </c>
      <c r="B1025" s="1" t="s">
        <v>25</v>
      </c>
      <c r="C1025" s="2">
        <v>43290</v>
      </c>
      <c r="D1025" s="1" t="s">
        <v>29</v>
      </c>
      <c r="E1025" s="1">
        <v>22</v>
      </c>
      <c r="F1025" s="1">
        <v>16</v>
      </c>
      <c r="G1025" s="1">
        <v>352</v>
      </c>
      <c r="H1025" s="1">
        <v>0.03</v>
      </c>
      <c r="I1025" s="1" t="s">
        <v>35</v>
      </c>
    </row>
    <row r="1026" spans="1:9" x14ac:dyDescent="0.3">
      <c r="A1026" s="1" t="s">
        <v>1055</v>
      </c>
      <c r="B1026" s="1" t="s">
        <v>22</v>
      </c>
      <c r="C1026" s="2">
        <v>43290</v>
      </c>
      <c r="D1026" s="1" t="s">
        <v>29</v>
      </c>
      <c r="E1026" s="1">
        <v>9</v>
      </c>
      <c r="F1026" s="1">
        <v>16</v>
      </c>
      <c r="G1026" s="1">
        <v>144</v>
      </c>
      <c r="H1026" s="1">
        <v>0.05</v>
      </c>
      <c r="I1026" s="1" t="s">
        <v>37</v>
      </c>
    </row>
    <row r="1027" spans="1:9" x14ac:dyDescent="0.3">
      <c r="A1027" s="1" t="s">
        <v>1056</v>
      </c>
      <c r="B1027" s="1" t="s">
        <v>22</v>
      </c>
      <c r="C1027" s="2">
        <v>43290</v>
      </c>
      <c r="D1027" s="1" t="s">
        <v>14</v>
      </c>
      <c r="E1027" s="1">
        <v>4</v>
      </c>
      <c r="F1027" s="1">
        <v>40</v>
      </c>
      <c r="G1027" s="1">
        <v>160</v>
      </c>
      <c r="H1027" s="1">
        <v>0.1</v>
      </c>
      <c r="I1027" s="1" t="s">
        <v>39</v>
      </c>
    </row>
    <row r="1028" spans="1:9" x14ac:dyDescent="0.3">
      <c r="A1028" s="1" t="s">
        <v>1057</v>
      </c>
      <c r="B1028" s="1" t="s">
        <v>28</v>
      </c>
      <c r="C1028" s="2">
        <v>43290</v>
      </c>
      <c r="D1028" s="1" t="s">
        <v>10</v>
      </c>
      <c r="E1028" s="1">
        <v>9</v>
      </c>
      <c r="F1028" s="1">
        <v>80</v>
      </c>
      <c r="G1028" s="1">
        <v>720</v>
      </c>
      <c r="H1028" s="1">
        <v>0.02</v>
      </c>
      <c r="I1028" s="1" t="s">
        <v>41</v>
      </c>
    </row>
    <row r="1029" spans="1:9" x14ac:dyDescent="0.3">
      <c r="A1029" s="1" t="s">
        <v>1058</v>
      </c>
      <c r="B1029" s="1" t="s">
        <v>22</v>
      </c>
      <c r="C1029" s="2">
        <v>43290</v>
      </c>
      <c r="D1029" s="1" t="s">
        <v>17</v>
      </c>
      <c r="E1029" s="1">
        <v>6</v>
      </c>
      <c r="F1029" s="1">
        <v>230</v>
      </c>
      <c r="G1029" s="1">
        <v>1380</v>
      </c>
      <c r="H1029" s="1">
        <v>0.05</v>
      </c>
      <c r="I1029" s="1" t="s">
        <v>11</v>
      </c>
    </row>
    <row r="1030" spans="1:9" x14ac:dyDescent="0.3">
      <c r="A1030" s="1" t="s">
        <v>1059</v>
      </c>
      <c r="B1030" s="1" t="s">
        <v>25</v>
      </c>
      <c r="C1030" s="2">
        <v>43290</v>
      </c>
      <c r="D1030" s="1" t="s">
        <v>10</v>
      </c>
      <c r="E1030" s="1">
        <v>14</v>
      </c>
      <c r="F1030" s="1">
        <v>80</v>
      </c>
      <c r="G1030" s="1">
        <v>1120</v>
      </c>
      <c r="H1030" s="1">
        <v>0.05</v>
      </c>
      <c r="I1030" s="1" t="s">
        <v>15</v>
      </c>
    </row>
    <row r="1031" spans="1:9" x14ac:dyDescent="0.3">
      <c r="A1031" s="1" t="s">
        <v>1060</v>
      </c>
      <c r="B1031" s="1" t="s">
        <v>28</v>
      </c>
      <c r="C1031" s="2">
        <v>43290</v>
      </c>
      <c r="D1031" s="1" t="s">
        <v>29</v>
      </c>
      <c r="E1031" s="1">
        <v>17</v>
      </c>
      <c r="F1031" s="1">
        <v>16</v>
      </c>
      <c r="G1031" s="1">
        <v>272</v>
      </c>
      <c r="H1031" s="1">
        <v>0.08</v>
      </c>
      <c r="I1031" s="1" t="s">
        <v>18</v>
      </c>
    </row>
    <row r="1032" spans="1:9" x14ac:dyDescent="0.3">
      <c r="A1032" s="1" t="s">
        <v>1061</v>
      </c>
      <c r="B1032" s="1" t="s">
        <v>13</v>
      </c>
      <c r="C1032" s="2">
        <v>43290</v>
      </c>
      <c r="D1032" s="1" t="s">
        <v>32</v>
      </c>
      <c r="E1032" s="1">
        <v>22</v>
      </c>
      <c r="F1032" s="1">
        <v>150</v>
      </c>
      <c r="G1032" s="1">
        <v>3300</v>
      </c>
      <c r="H1032" s="1">
        <v>0.02</v>
      </c>
      <c r="I1032" s="1" t="s">
        <v>46</v>
      </c>
    </row>
    <row r="1033" spans="1:9" x14ac:dyDescent="0.3">
      <c r="A1033" s="1" t="s">
        <v>1062</v>
      </c>
      <c r="B1033" s="1" t="s">
        <v>28</v>
      </c>
      <c r="C1033" s="2">
        <v>43290</v>
      </c>
      <c r="D1033" s="1" t="s">
        <v>14</v>
      </c>
      <c r="E1033" s="1">
        <v>17</v>
      </c>
      <c r="F1033" s="1">
        <v>40</v>
      </c>
      <c r="G1033" s="1">
        <v>680</v>
      </c>
      <c r="H1033" s="1">
        <v>0.02</v>
      </c>
      <c r="I1033" s="1" t="s">
        <v>23</v>
      </c>
    </row>
    <row r="1034" spans="1:9" x14ac:dyDescent="0.3">
      <c r="A1034" s="1" t="s">
        <v>1063</v>
      </c>
      <c r="B1034" s="1" t="s">
        <v>28</v>
      </c>
      <c r="C1034" s="2">
        <v>43290</v>
      </c>
      <c r="D1034" s="1" t="s">
        <v>10</v>
      </c>
      <c r="E1034" s="1">
        <v>17</v>
      </c>
      <c r="F1034" s="1">
        <v>80</v>
      </c>
      <c r="G1034" s="1">
        <v>1360</v>
      </c>
      <c r="H1034" s="1">
        <v>7.0000000000000007E-2</v>
      </c>
      <c r="I1034" s="1" t="s">
        <v>26</v>
      </c>
    </row>
    <row r="1035" spans="1:9" x14ac:dyDescent="0.3">
      <c r="A1035" s="1" t="s">
        <v>1064</v>
      </c>
      <c r="B1035" s="1" t="s">
        <v>25</v>
      </c>
      <c r="C1035" s="2">
        <v>43290</v>
      </c>
      <c r="D1035" s="1" t="s">
        <v>32</v>
      </c>
      <c r="E1035" s="1">
        <v>4</v>
      </c>
      <c r="F1035" s="1">
        <v>150</v>
      </c>
      <c r="G1035" s="1">
        <v>600</v>
      </c>
      <c r="H1035" s="1">
        <v>0.12</v>
      </c>
      <c r="I1035" s="1" t="s">
        <v>15</v>
      </c>
    </row>
    <row r="1036" spans="1:9" x14ac:dyDescent="0.3">
      <c r="A1036" s="1" t="s">
        <v>1065</v>
      </c>
      <c r="B1036" s="1" t="s">
        <v>25</v>
      </c>
      <c r="C1036" s="2">
        <v>43290</v>
      </c>
      <c r="D1036" s="1" t="s">
        <v>29</v>
      </c>
      <c r="E1036" s="1">
        <v>14</v>
      </c>
      <c r="F1036" s="1">
        <v>16</v>
      </c>
      <c r="G1036" s="1">
        <v>224</v>
      </c>
      <c r="H1036" s="1">
        <v>0.12</v>
      </c>
      <c r="I1036" s="1" t="s">
        <v>18</v>
      </c>
    </row>
    <row r="1037" spans="1:9" x14ac:dyDescent="0.3">
      <c r="A1037" s="1" t="s">
        <v>1066</v>
      </c>
      <c r="B1037" s="1" t="s">
        <v>9</v>
      </c>
      <c r="C1037" s="2">
        <v>43290</v>
      </c>
      <c r="D1037" s="1" t="s">
        <v>29</v>
      </c>
      <c r="E1037" s="1">
        <v>18</v>
      </c>
      <c r="F1037" s="1">
        <v>16</v>
      </c>
      <c r="G1037" s="1">
        <v>288</v>
      </c>
      <c r="H1037" s="1">
        <v>0.11</v>
      </c>
      <c r="I1037" s="1" t="s">
        <v>46</v>
      </c>
    </row>
    <row r="1038" spans="1:9" x14ac:dyDescent="0.3">
      <c r="A1038" s="1" t="s">
        <v>1067</v>
      </c>
      <c r="B1038" s="1" t="s">
        <v>28</v>
      </c>
      <c r="C1038" s="2">
        <v>43290</v>
      </c>
      <c r="D1038" s="1" t="s">
        <v>10</v>
      </c>
      <c r="E1038" s="1">
        <v>22</v>
      </c>
      <c r="F1038" s="1">
        <v>80</v>
      </c>
      <c r="G1038" s="1">
        <v>1760</v>
      </c>
      <c r="H1038" s="1">
        <v>0.09</v>
      </c>
      <c r="I1038" s="1" t="s">
        <v>23</v>
      </c>
    </row>
    <row r="1039" spans="1:9" x14ac:dyDescent="0.3">
      <c r="A1039" s="1" t="s">
        <v>1068</v>
      </c>
      <c r="B1039" s="1" t="s">
        <v>13</v>
      </c>
      <c r="C1039" s="2">
        <v>43290</v>
      </c>
      <c r="D1039" s="1" t="s">
        <v>17</v>
      </c>
      <c r="E1039" s="1">
        <v>12</v>
      </c>
      <c r="F1039" s="1">
        <v>230</v>
      </c>
      <c r="G1039" s="1">
        <v>2760</v>
      </c>
      <c r="H1039" s="1">
        <v>0.03</v>
      </c>
      <c r="I1039" s="1" t="s">
        <v>26</v>
      </c>
    </row>
    <row r="1040" spans="1:9" x14ac:dyDescent="0.3">
      <c r="A1040" s="1" t="s">
        <v>1069</v>
      </c>
      <c r="B1040" s="1" t="s">
        <v>13</v>
      </c>
      <c r="C1040" s="2">
        <v>43290</v>
      </c>
      <c r="D1040" s="1" t="s">
        <v>14</v>
      </c>
      <c r="E1040" s="1">
        <v>12</v>
      </c>
      <c r="F1040" s="1">
        <v>40</v>
      </c>
      <c r="G1040" s="1">
        <v>480</v>
      </c>
      <c r="H1040" s="1">
        <v>0.1</v>
      </c>
      <c r="I1040" s="1" t="s">
        <v>30</v>
      </c>
    </row>
    <row r="1041" spans="1:9" x14ac:dyDescent="0.3">
      <c r="A1041" s="1" t="s">
        <v>1070</v>
      </c>
      <c r="B1041" s="1" t="s">
        <v>28</v>
      </c>
      <c r="C1041" s="2">
        <v>43291</v>
      </c>
      <c r="D1041" s="1" t="s">
        <v>14</v>
      </c>
      <c r="E1041" s="1">
        <v>7</v>
      </c>
      <c r="F1041" s="1">
        <v>40</v>
      </c>
      <c r="G1041" s="1">
        <v>280</v>
      </c>
      <c r="H1041" s="1">
        <v>0.12</v>
      </c>
      <c r="I1041" s="1" t="s">
        <v>33</v>
      </c>
    </row>
    <row r="1042" spans="1:9" x14ac:dyDescent="0.3">
      <c r="A1042" s="1" t="s">
        <v>1071</v>
      </c>
      <c r="B1042" s="1" t="s">
        <v>9</v>
      </c>
      <c r="C1042" s="2">
        <v>43291</v>
      </c>
      <c r="D1042" s="1" t="s">
        <v>10</v>
      </c>
      <c r="E1042" s="1">
        <v>12</v>
      </c>
      <c r="F1042" s="1">
        <v>80</v>
      </c>
      <c r="G1042" s="1">
        <v>960</v>
      </c>
      <c r="H1042" s="1">
        <v>0.04</v>
      </c>
      <c r="I1042" s="1" t="s">
        <v>35</v>
      </c>
    </row>
    <row r="1043" spans="1:9" x14ac:dyDescent="0.3">
      <c r="A1043" s="1" t="s">
        <v>1072</v>
      </c>
      <c r="B1043" s="1" t="s">
        <v>28</v>
      </c>
      <c r="C1043" s="2">
        <v>43291</v>
      </c>
      <c r="D1043" s="1" t="s">
        <v>29</v>
      </c>
      <c r="E1043" s="1">
        <v>17</v>
      </c>
      <c r="F1043" s="1">
        <v>16</v>
      </c>
      <c r="G1043" s="1">
        <v>272</v>
      </c>
      <c r="H1043" s="1">
        <v>0.1</v>
      </c>
      <c r="I1043" s="1" t="s">
        <v>37</v>
      </c>
    </row>
    <row r="1044" spans="1:9" x14ac:dyDescent="0.3">
      <c r="A1044" s="1" t="s">
        <v>1073</v>
      </c>
      <c r="B1044" s="1" t="s">
        <v>13</v>
      </c>
      <c r="C1044" s="2">
        <v>43291</v>
      </c>
      <c r="D1044" s="1" t="s">
        <v>17</v>
      </c>
      <c r="E1044" s="1">
        <v>6</v>
      </c>
      <c r="F1044" s="1">
        <v>230</v>
      </c>
      <c r="G1044" s="1">
        <v>1380</v>
      </c>
      <c r="H1044" s="1">
        <v>0.1</v>
      </c>
      <c r="I1044" s="1" t="s">
        <v>39</v>
      </c>
    </row>
    <row r="1045" spans="1:9" x14ac:dyDescent="0.3">
      <c r="A1045" s="1" t="s">
        <v>1074</v>
      </c>
      <c r="B1045" s="1" t="s">
        <v>9</v>
      </c>
      <c r="C1045" s="2">
        <v>43291</v>
      </c>
      <c r="D1045" s="1" t="s">
        <v>14</v>
      </c>
      <c r="E1045" s="1">
        <v>11</v>
      </c>
      <c r="F1045" s="1">
        <v>40</v>
      </c>
      <c r="G1045" s="1">
        <v>440</v>
      </c>
      <c r="H1045" s="1">
        <v>0.04</v>
      </c>
      <c r="I1045" s="1" t="s">
        <v>41</v>
      </c>
    </row>
    <row r="1046" spans="1:9" x14ac:dyDescent="0.3">
      <c r="A1046" s="1" t="s">
        <v>1075</v>
      </c>
      <c r="B1046" s="1" t="s">
        <v>25</v>
      </c>
      <c r="C1046" s="2">
        <v>43291</v>
      </c>
      <c r="D1046" s="1" t="s">
        <v>29</v>
      </c>
      <c r="E1046" s="1">
        <v>10</v>
      </c>
      <c r="F1046" s="1">
        <v>16</v>
      </c>
      <c r="G1046" s="1">
        <v>160</v>
      </c>
      <c r="H1046" s="1">
        <v>0.04</v>
      </c>
      <c r="I1046" s="1" t="s">
        <v>11</v>
      </c>
    </row>
    <row r="1047" spans="1:9" x14ac:dyDescent="0.3">
      <c r="A1047" s="1" t="s">
        <v>1076</v>
      </c>
      <c r="B1047" s="1" t="s">
        <v>9</v>
      </c>
      <c r="C1047" s="2">
        <v>43291</v>
      </c>
      <c r="D1047" s="1" t="s">
        <v>10</v>
      </c>
      <c r="E1047" s="1">
        <v>6</v>
      </c>
      <c r="F1047" s="1">
        <v>80</v>
      </c>
      <c r="G1047" s="1">
        <v>480</v>
      </c>
      <c r="H1047" s="1">
        <v>7.0000000000000007E-2</v>
      </c>
      <c r="I1047" s="1" t="s">
        <v>15</v>
      </c>
    </row>
    <row r="1048" spans="1:9" x14ac:dyDescent="0.3">
      <c r="A1048" s="1" t="s">
        <v>1077</v>
      </c>
      <c r="B1048" s="1" t="s">
        <v>25</v>
      </c>
      <c r="C1048" s="2">
        <v>43291</v>
      </c>
      <c r="D1048" s="1" t="s">
        <v>14</v>
      </c>
      <c r="E1048" s="1">
        <v>11</v>
      </c>
      <c r="F1048" s="1">
        <v>40</v>
      </c>
      <c r="G1048" s="1">
        <v>440</v>
      </c>
      <c r="H1048" s="1">
        <v>0.09</v>
      </c>
      <c r="I1048" s="1" t="s">
        <v>18</v>
      </c>
    </row>
    <row r="1049" spans="1:9" x14ac:dyDescent="0.3">
      <c r="A1049" s="1" t="s">
        <v>1078</v>
      </c>
      <c r="B1049" s="1" t="s">
        <v>28</v>
      </c>
      <c r="C1049" s="2">
        <v>43291</v>
      </c>
      <c r="D1049" s="1" t="s">
        <v>10</v>
      </c>
      <c r="E1049" s="1">
        <v>16</v>
      </c>
      <c r="F1049" s="1">
        <v>80</v>
      </c>
      <c r="G1049" s="1">
        <v>1280</v>
      </c>
      <c r="H1049" s="1">
        <v>0.09</v>
      </c>
      <c r="I1049" s="1" t="s">
        <v>46</v>
      </c>
    </row>
    <row r="1050" spans="1:9" x14ac:dyDescent="0.3">
      <c r="A1050" s="1" t="s">
        <v>1079</v>
      </c>
      <c r="B1050" s="1" t="s">
        <v>25</v>
      </c>
      <c r="C1050" s="2">
        <v>43291</v>
      </c>
      <c r="D1050" s="1" t="s">
        <v>14</v>
      </c>
      <c r="E1050" s="1">
        <v>13</v>
      </c>
      <c r="F1050" s="1">
        <v>40</v>
      </c>
      <c r="G1050" s="1">
        <v>520</v>
      </c>
      <c r="H1050" s="1">
        <v>0.09</v>
      </c>
      <c r="I1050" s="1" t="s">
        <v>23</v>
      </c>
    </row>
    <row r="1051" spans="1:9" x14ac:dyDescent="0.3">
      <c r="A1051" s="1" t="s">
        <v>1080</v>
      </c>
      <c r="B1051" s="1" t="s">
        <v>9</v>
      </c>
      <c r="C1051" s="2">
        <v>43291</v>
      </c>
      <c r="D1051" s="1" t="s">
        <v>17</v>
      </c>
      <c r="E1051" s="1">
        <v>5</v>
      </c>
      <c r="F1051" s="1">
        <v>230</v>
      </c>
      <c r="G1051" s="1">
        <v>1150</v>
      </c>
      <c r="H1051" s="1">
        <v>0.1</v>
      </c>
      <c r="I1051" s="1" t="s">
        <v>26</v>
      </c>
    </row>
    <row r="1052" spans="1:9" x14ac:dyDescent="0.3">
      <c r="A1052" s="1" t="s">
        <v>1081</v>
      </c>
      <c r="B1052" s="1" t="s">
        <v>28</v>
      </c>
      <c r="C1052" s="2">
        <v>43292</v>
      </c>
      <c r="D1052" s="1" t="s">
        <v>14</v>
      </c>
      <c r="E1052" s="1">
        <v>7</v>
      </c>
      <c r="F1052" s="1">
        <v>40</v>
      </c>
      <c r="G1052" s="1">
        <v>280</v>
      </c>
      <c r="H1052" s="1">
        <v>0.05</v>
      </c>
      <c r="I1052" s="1" t="s">
        <v>15</v>
      </c>
    </row>
    <row r="1053" spans="1:9" x14ac:dyDescent="0.3">
      <c r="A1053" s="1" t="s">
        <v>1082</v>
      </c>
      <c r="B1053" s="1" t="s">
        <v>22</v>
      </c>
      <c r="C1053" s="2">
        <v>43292</v>
      </c>
      <c r="D1053" s="1" t="s">
        <v>10</v>
      </c>
      <c r="E1053" s="1">
        <v>14</v>
      </c>
      <c r="F1053" s="1">
        <v>80</v>
      </c>
      <c r="G1053" s="1">
        <v>1120</v>
      </c>
      <c r="H1053" s="1">
        <v>0.1</v>
      </c>
      <c r="I1053" s="1" t="s">
        <v>18</v>
      </c>
    </row>
    <row r="1054" spans="1:9" x14ac:dyDescent="0.3">
      <c r="A1054" s="1" t="s">
        <v>1083</v>
      </c>
      <c r="B1054" s="1" t="s">
        <v>28</v>
      </c>
      <c r="C1054" s="2">
        <v>43292</v>
      </c>
      <c r="D1054" s="1" t="s">
        <v>29</v>
      </c>
      <c r="E1054" s="1">
        <v>12</v>
      </c>
      <c r="F1054" s="1">
        <v>16</v>
      </c>
      <c r="G1054" s="1">
        <v>192</v>
      </c>
      <c r="H1054" s="1">
        <v>0.04</v>
      </c>
      <c r="I1054" s="1" t="s">
        <v>46</v>
      </c>
    </row>
    <row r="1055" spans="1:9" x14ac:dyDescent="0.3">
      <c r="A1055" s="1" t="s">
        <v>1084</v>
      </c>
      <c r="B1055" s="1" t="s">
        <v>22</v>
      </c>
      <c r="C1055" s="2">
        <v>43292</v>
      </c>
      <c r="D1055" s="1" t="s">
        <v>17</v>
      </c>
      <c r="E1055" s="1">
        <v>14</v>
      </c>
      <c r="F1055" s="1">
        <v>230</v>
      </c>
      <c r="G1055" s="1">
        <v>3220</v>
      </c>
      <c r="H1055" s="1">
        <v>0.03</v>
      </c>
      <c r="I1055" s="1" t="s">
        <v>23</v>
      </c>
    </row>
    <row r="1056" spans="1:9" x14ac:dyDescent="0.3">
      <c r="A1056" s="1" t="s">
        <v>1085</v>
      </c>
      <c r="B1056" s="1" t="s">
        <v>28</v>
      </c>
      <c r="C1056" s="2">
        <v>43292</v>
      </c>
      <c r="D1056" s="1" t="s">
        <v>10</v>
      </c>
      <c r="E1056" s="1">
        <v>21</v>
      </c>
      <c r="F1056" s="1">
        <v>80</v>
      </c>
      <c r="G1056" s="1">
        <v>1680</v>
      </c>
      <c r="H1056" s="1">
        <v>0.09</v>
      </c>
      <c r="I1056" s="1" t="s">
        <v>26</v>
      </c>
    </row>
    <row r="1057" spans="1:9" x14ac:dyDescent="0.3">
      <c r="A1057" s="1" t="s">
        <v>1086</v>
      </c>
      <c r="B1057" s="1" t="s">
        <v>22</v>
      </c>
      <c r="C1057" s="2">
        <v>43292</v>
      </c>
      <c r="D1057" s="1" t="s">
        <v>17</v>
      </c>
      <c r="E1057" s="1">
        <v>5</v>
      </c>
      <c r="F1057" s="1">
        <v>230</v>
      </c>
      <c r="G1057" s="1">
        <v>1150</v>
      </c>
      <c r="H1057" s="1">
        <v>0.1</v>
      </c>
      <c r="I1057" s="1" t="s">
        <v>30</v>
      </c>
    </row>
    <row r="1058" spans="1:9" x14ac:dyDescent="0.3">
      <c r="A1058" s="1" t="s">
        <v>1087</v>
      </c>
      <c r="B1058" s="1" t="s">
        <v>28</v>
      </c>
      <c r="C1058" s="2">
        <v>43292</v>
      </c>
      <c r="D1058" s="1" t="s">
        <v>14</v>
      </c>
      <c r="E1058" s="1">
        <v>16</v>
      </c>
      <c r="F1058" s="1">
        <v>40</v>
      </c>
      <c r="G1058" s="1">
        <v>640</v>
      </c>
      <c r="H1058" s="1">
        <v>0.09</v>
      </c>
      <c r="I1058" s="1" t="s">
        <v>33</v>
      </c>
    </row>
    <row r="1059" spans="1:9" x14ac:dyDescent="0.3">
      <c r="A1059" s="1" t="s">
        <v>1088</v>
      </c>
      <c r="B1059" s="1" t="s">
        <v>13</v>
      </c>
      <c r="C1059" s="2">
        <v>43292</v>
      </c>
      <c r="D1059" s="1" t="s">
        <v>32</v>
      </c>
      <c r="E1059" s="1">
        <v>15</v>
      </c>
      <c r="F1059" s="1">
        <v>150</v>
      </c>
      <c r="G1059" s="1">
        <v>2250</v>
      </c>
      <c r="H1059" s="1">
        <v>0.12</v>
      </c>
      <c r="I1059" s="1" t="s">
        <v>35</v>
      </c>
    </row>
    <row r="1060" spans="1:9" x14ac:dyDescent="0.3">
      <c r="A1060" s="1" t="s">
        <v>1089</v>
      </c>
      <c r="B1060" s="1" t="s">
        <v>28</v>
      </c>
      <c r="C1060" s="2">
        <v>43292</v>
      </c>
      <c r="D1060" s="1" t="s">
        <v>29</v>
      </c>
      <c r="E1060" s="1">
        <v>23</v>
      </c>
      <c r="F1060" s="1">
        <v>16</v>
      </c>
      <c r="G1060" s="1">
        <v>368</v>
      </c>
      <c r="H1060" s="1">
        <v>0.01</v>
      </c>
      <c r="I1060" s="1" t="s">
        <v>37</v>
      </c>
    </row>
    <row r="1061" spans="1:9" x14ac:dyDescent="0.3">
      <c r="A1061" s="1" t="s">
        <v>1090</v>
      </c>
      <c r="B1061" s="1" t="s">
        <v>13</v>
      </c>
      <c r="C1061" s="2">
        <v>43292</v>
      </c>
      <c r="D1061" s="1" t="s">
        <v>29</v>
      </c>
      <c r="E1061" s="1">
        <v>22</v>
      </c>
      <c r="F1061" s="1">
        <v>16</v>
      </c>
      <c r="G1061" s="1">
        <v>352</v>
      </c>
      <c r="H1061" s="1">
        <v>0.04</v>
      </c>
      <c r="I1061" s="1" t="s">
        <v>39</v>
      </c>
    </row>
    <row r="1062" spans="1:9" x14ac:dyDescent="0.3">
      <c r="A1062" s="1" t="s">
        <v>1091</v>
      </c>
      <c r="B1062" s="1" t="s">
        <v>9</v>
      </c>
      <c r="C1062" s="2">
        <v>43292</v>
      </c>
      <c r="D1062" s="1" t="s">
        <v>10</v>
      </c>
      <c r="E1062" s="1">
        <v>20</v>
      </c>
      <c r="F1062" s="1">
        <v>80</v>
      </c>
      <c r="G1062" s="1">
        <v>1600</v>
      </c>
      <c r="H1062" s="1">
        <v>0.01</v>
      </c>
      <c r="I1062" s="1" t="s">
        <v>41</v>
      </c>
    </row>
    <row r="1063" spans="1:9" x14ac:dyDescent="0.3">
      <c r="A1063" s="1" t="s">
        <v>1092</v>
      </c>
      <c r="B1063" s="1" t="s">
        <v>25</v>
      </c>
      <c r="C1063" s="2">
        <v>43292</v>
      </c>
      <c r="D1063" s="1" t="s">
        <v>14</v>
      </c>
      <c r="E1063" s="1">
        <v>6</v>
      </c>
      <c r="F1063" s="1">
        <v>40</v>
      </c>
      <c r="G1063" s="1">
        <v>240</v>
      </c>
      <c r="H1063" s="1">
        <v>7.0000000000000007E-2</v>
      </c>
      <c r="I1063" s="1" t="s">
        <v>11</v>
      </c>
    </row>
    <row r="1064" spans="1:9" x14ac:dyDescent="0.3">
      <c r="A1064" s="1" t="s">
        <v>1093</v>
      </c>
      <c r="B1064" s="1" t="s">
        <v>13</v>
      </c>
      <c r="C1064" s="2">
        <v>43293</v>
      </c>
      <c r="D1064" s="1" t="s">
        <v>32</v>
      </c>
      <c r="E1064" s="1">
        <v>10</v>
      </c>
      <c r="F1064" s="1">
        <v>150</v>
      </c>
      <c r="G1064" s="1">
        <v>1500</v>
      </c>
      <c r="H1064" s="1">
        <v>0.01</v>
      </c>
      <c r="I1064" s="1" t="s">
        <v>15</v>
      </c>
    </row>
    <row r="1065" spans="1:9" x14ac:dyDescent="0.3">
      <c r="A1065" s="1" t="s">
        <v>1094</v>
      </c>
      <c r="B1065" s="1" t="s">
        <v>25</v>
      </c>
      <c r="C1065" s="2">
        <v>43293</v>
      </c>
      <c r="D1065" s="1" t="s">
        <v>10</v>
      </c>
      <c r="E1065" s="1">
        <v>17</v>
      </c>
      <c r="F1065" s="1">
        <v>80</v>
      </c>
      <c r="G1065" s="1">
        <v>1360</v>
      </c>
      <c r="H1065" s="1">
        <v>0.05</v>
      </c>
      <c r="I1065" s="1" t="s">
        <v>18</v>
      </c>
    </row>
    <row r="1066" spans="1:9" x14ac:dyDescent="0.3">
      <c r="A1066" s="1" t="s">
        <v>1095</v>
      </c>
      <c r="B1066" s="1" t="s">
        <v>9</v>
      </c>
      <c r="C1066" s="2">
        <v>43293</v>
      </c>
      <c r="D1066" s="1" t="s">
        <v>32</v>
      </c>
      <c r="E1066" s="1">
        <v>13</v>
      </c>
      <c r="F1066" s="1">
        <v>150</v>
      </c>
      <c r="G1066" s="1">
        <v>1950</v>
      </c>
      <c r="H1066" s="1">
        <v>0.05</v>
      </c>
      <c r="I1066" s="1" t="s">
        <v>46</v>
      </c>
    </row>
    <row r="1067" spans="1:9" x14ac:dyDescent="0.3">
      <c r="A1067" s="1" t="s">
        <v>1096</v>
      </c>
      <c r="B1067" s="1" t="s">
        <v>25</v>
      </c>
      <c r="C1067" s="2">
        <v>43293</v>
      </c>
      <c r="D1067" s="1" t="s">
        <v>17</v>
      </c>
      <c r="E1067" s="1">
        <v>8</v>
      </c>
      <c r="F1067" s="1">
        <v>230</v>
      </c>
      <c r="G1067" s="1">
        <v>1840</v>
      </c>
      <c r="H1067" s="1">
        <v>0.05</v>
      </c>
      <c r="I1067" s="1" t="s">
        <v>23</v>
      </c>
    </row>
    <row r="1068" spans="1:9" x14ac:dyDescent="0.3">
      <c r="A1068" s="1" t="s">
        <v>1097</v>
      </c>
      <c r="B1068" s="1" t="s">
        <v>9</v>
      </c>
      <c r="C1068" s="2">
        <v>43293</v>
      </c>
      <c r="D1068" s="1" t="s">
        <v>29</v>
      </c>
      <c r="E1068" s="1">
        <v>10</v>
      </c>
      <c r="F1068" s="1">
        <v>16</v>
      </c>
      <c r="G1068" s="1">
        <v>160</v>
      </c>
      <c r="H1068" s="1">
        <v>0.08</v>
      </c>
      <c r="I1068" s="1" t="s">
        <v>26</v>
      </c>
    </row>
    <row r="1069" spans="1:9" x14ac:dyDescent="0.3">
      <c r="A1069" s="1" t="s">
        <v>1098</v>
      </c>
      <c r="B1069" s="1" t="s">
        <v>13</v>
      </c>
      <c r="C1069" s="2">
        <v>43293</v>
      </c>
      <c r="D1069" s="1" t="s">
        <v>14</v>
      </c>
      <c r="E1069" s="1">
        <v>4</v>
      </c>
      <c r="F1069" s="1">
        <v>40</v>
      </c>
      <c r="G1069" s="1">
        <v>160</v>
      </c>
      <c r="H1069" s="1">
        <v>0.06</v>
      </c>
      <c r="I1069" s="1" t="s">
        <v>15</v>
      </c>
    </row>
    <row r="1070" spans="1:9" x14ac:dyDescent="0.3">
      <c r="A1070" s="1" t="s">
        <v>1099</v>
      </c>
      <c r="B1070" s="1" t="s">
        <v>28</v>
      </c>
      <c r="C1070" s="2">
        <v>43293</v>
      </c>
      <c r="D1070" s="1" t="s">
        <v>14</v>
      </c>
      <c r="E1070" s="1">
        <v>18</v>
      </c>
      <c r="F1070" s="1">
        <v>40</v>
      </c>
      <c r="G1070" s="1">
        <v>720</v>
      </c>
      <c r="H1070" s="1">
        <v>0.06</v>
      </c>
      <c r="I1070" s="1" t="s">
        <v>18</v>
      </c>
    </row>
    <row r="1071" spans="1:9" x14ac:dyDescent="0.3">
      <c r="A1071" s="1" t="s">
        <v>1100</v>
      </c>
      <c r="B1071" s="1" t="s">
        <v>25</v>
      </c>
      <c r="C1071" s="2">
        <v>43293</v>
      </c>
      <c r="D1071" s="1" t="s">
        <v>32</v>
      </c>
      <c r="E1071" s="1">
        <v>15</v>
      </c>
      <c r="F1071" s="1">
        <v>150</v>
      </c>
      <c r="G1071" s="1">
        <v>2250</v>
      </c>
      <c r="H1071" s="1">
        <v>0.05</v>
      </c>
      <c r="I1071" s="1" t="s">
        <v>46</v>
      </c>
    </row>
    <row r="1072" spans="1:9" x14ac:dyDescent="0.3">
      <c r="A1072" s="1" t="s">
        <v>1101</v>
      </c>
      <c r="B1072" s="1" t="s">
        <v>25</v>
      </c>
      <c r="C1072" s="2">
        <v>43293</v>
      </c>
      <c r="D1072" s="1" t="s">
        <v>32</v>
      </c>
      <c r="E1072" s="1">
        <v>3</v>
      </c>
      <c r="F1072" s="1">
        <v>150</v>
      </c>
      <c r="G1072" s="1">
        <v>450</v>
      </c>
      <c r="H1072" s="1">
        <v>0.01</v>
      </c>
      <c r="I1072" s="1" t="s">
        <v>23</v>
      </c>
    </row>
    <row r="1073" spans="1:9" x14ac:dyDescent="0.3">
      <c r="A1073" s="1" t="s">
        <v>1102</v>
      </c>
      <c r="B1073" s="1" t="s">
        <v>9</v>
      </c>
      <c r="C1073" s="2">
        <v>43293</v>
      </c>
      <c r="D1073" s="1" t="s">
        <v>29</v>
      </c>
      <c r="E1073" s="1">
        <v>12</v>
      </c>
      <c r="F1073" s="1">
        <v>16</v>
      </c>
      <c r="G1073" s="1">
        <v>192</v>
      </c>
      <c r="H1073" s="1">
        <v>0.11</v>
      </c>
      <c r="I1073" s="1" t="s">
        <v>26</v>
      </c>
    </row>
    <row r="1074" spans="1:9" x14ac:dyDescent="0.3">
      <c r="A1074" s="1" t="s">
        <v>1103</v>
      </c>
      <c r="B1074" s="1" t="s">
        <v>28</v>
      </c>
      <c r="C1074" s="2">
        <v>43294</v>
      </c>
      <c r="D1074" s="1" t="s">
        <v>10</v>
      </c>
      <c r="E1074" s="1">
        <v>17</v>
      </c>
      <c r="F1074" s="1">
        <v>80</v>
      </c>
      <c r="G1074" s="1">
        <v>1360</v>
      </c>
      <c r="H1074" s="1">
        <v>7.0000000000000007E-2</v>
      </c>
      <c r="I1074" s="1" t="s">
        <v>30</v>
      </c>
    </row>
    <row r="1075" spans="1:9" x14ac:dyDescent="0.3">
      <c r="A1075" s="1" t="s">
        <v>1104</v>
      </c>
      <c r="B1075" s="1" t="s">
        <v>9</v>
      </c>
      <c r="C1075" s="2">
        <v>43294</v>
      </c>
      <c r="D1075" s="1" t="s">
        <v>17</v>
      </c>
      <c r="E1075" s="1">
        <v>3</v>
      </c>
      <c r="F1075" s="1">
        <v>230</v>
      </c>
      <c r="G1075" s="1">
        <v>690</v>
      </c>
      <c r="H1075" s="1">
        <v>0.06</v>
      </c>
      <c r="I1075" s="1" t="s">
        <v>33</v>
      </c>
    </row>
    <row r="1076" spans="1:9" x14ac:dyDescent="0.3">
      <c r="A1076" s="1" t="s">
        <v>1105</v>
      </c>
      <c r="B1076" s="1" t="s">
        <v>22</v>
      </c>
      <c r="C1076" s="2">
        <v>43294</v>
      </c>
      <c r="D1076" s="1" t="s">
        <v>10</v>
      </c>
      <c r="E1076" s="1">
        <v>20</v>
      </c>
      <c r="F1076" s="1">
        <v>80</v>
      </c>
      <c r="G1076" s="1">
        <v>1600</v>
      </c>
      <c r="H1076" s="1">
        <v>7.0000000000000007E-2</v>
      </c>
      <c r="I1076" s="1" t="s">
        <v>35</v>
      </c>
    </row>
    <row r="1077" spans="1:9" x14ac:dyDescent="0.3">
      <c r="A1077" s="1" t="s">
        <v>1106</v>
      </c>
      <c r="B1077" s="1" t="s">
        <v>13</v>
      </c>
      <c r="C1077" s="2">
        <v>43294</v>
      </c>
      <c r="D1077" s="1" t="s">
        <v>17</v>
      </c>
      <c r="E1077" s="1">
        <v>14</v>
      </c>
      <c r="F1077" s="1">
        <v>230</v>
      </c>
      <c r="G1077" s="1">
        <v>3220</v>
      </c>
      <c r="H1077" s="1">
        <v>0.05</v>
      </c>
      <c r="I1077" s="1" t="s">
        <v>37</v>
      </c>
    </row>
    <row r="1078" spans="1:9" x14ac:dyDescent="0.3">
      <c r="A1078" s="1" t="s">
        <v>1107</v>
      </c>
      <c r="B1078" s="1" t="s">
        <v>28</v>
      </c>
      <c r="C1078" s="2">
        <v>43294</v>
      </c>
      <c r="D1078" s="1" t="s">
        <v>14</v>
      </c>
      <c r="E1078" s="1">
        <v>16</v>
      </c>
      <c r="F1078" s="1">
        <v>40</v>
      </c>
      <c r="G1078" s="1">
        <v>640</v>
      </c>
      <c r="H1078" s="1">
        <v>0.09</v>
      </c>
      <c r="I1078" s="1" t="s">
        <v>39</v>
      </c>
    </row>
    <row r="1079" spans="1:9" x14ac:dyDescent="0.3">
      <c r="A1079" s="1" t="s">
        <v>1108</v>
      </c>
      <c r="B1079" s="1" t="s">
        <v>13</v>
      </c>
      <c r="C1079" s="2">
        <v>43294</v>
      </c>
      <c r="D1079" s="1" t="s">
        <v>29</v>
      </c>
      <c r="E1079" s="1">
        <v>7</v>
      </c>
      <c r="F1079" s="1">
        <v>16</v>
      </c>
      <c r="G1079" s="1">
        <v>112</v>
      </c>
      <c r="H1079" s="1">
        <v>0.08</v>
      </c>
      <c r="I1079" s="1" t="s">
        <v>41</v>
      </c>
    </row>
    <row r="1080" spans="1:9" x14ac:dyDescent="0.3">
      <c r="A1080" s="1" t="s">
        <v>1109</v>
      </c>
      <c r="B1080" s="1" t="s">
        <v>13</v>
      </c>
      <c r="C1080" s="2">
        <v>43294</v>
      </c>
      <c r="D1080" s="1" t="s">
        <v>14</v>
      </c>
      <c r="E1080" s="1">
        <v>19</v>
      </c>
      <c r="F1080" s="1">
        <v>40</v>
      </c>
      <c r="G1080" s="1">
        <v>760</v>
      </c>
      <c r="H1080" s="1">
        <v>0.1</v>
      </c>
      <c r="I1080" s="1" t="s">
        <v>11</v>
      </c>
    </row>
    <row r="1081" spans="1:9" x14ac:dyDescent="0.3">
      <c r="A1081" s="1" t="s">
        <v>1110</v>
      </c>
      <c r="B1081" s="1" t="s">
        <v>25</v>
      </c>
      <c r="C1081" s="2">
        <v>43294</v>
      </c>
      <c r="D1081" s="1" t="s">
        <v>17</v>
      </c>
      <c r="E1081" s="1">
        <v>7</v>
      </c>
      <c r="F1081" s="1">
        <v>230</v>
      </c>
      <c r="G1081" s="1">
        <v>1610</v>
      </c>
      <c r="H1081" s="1">
        <v>0.06</v>
      </c>
      <c r="I1081" s="1" t="s">
        <v>15</v>
      </c>
    </row>
    <row r="1082" spans="1:9" x14ac:dyDescent="0.3">
      <c r="A1082" s="1" t="s">
        <v>1111</v>
      </c>
      <c r="B1082" s="1" t="s">
        <v>28</v>
      </c>
      <c r="C1082" s="2">
        <v>43294</v>
      </c>
      <c r="D1082" s="1" t="s">
        <v>14</v>
      </c>
      <c r="E1082" s="1">
        <v>20</v>
      </c>
      <c r="F1082" s="1">
        <v>40</v>
      </c>
      <c r="G1082" s="1">
        <v>800</v>
      </c>
      <c r="H1082" s="1">
        <v>0.03</v>
      </c>
      <c r="I1082" s="1" t="s">
        <v>18</v>
      </c>
    </row>
    <row r="1083" spans="1:9" x14ac:dyDescent="0.3">
      <c r="A1083" s="1" t="s">
        <v>1112</v>
      </c>
      <c r="B1083" s="1" t="s">
        <v>22</v>
      </c>
      <c r="C1083" s="2">
        <v>43294</v>
      </c>
      <c r="D1083" s="1" t="s">
        <v>29</v>
      </c>
      <c r="E1083" s="1">
        <v>11</v>
      </c>
      <c r="F1083" s="1">
        <v>16</v>
      </c>
      <c r="G1083" s="1">
        <v>176</v>
      </c>
      <c r="H1083" s="1">
        <v>0.12</v>
      </c>
      <c r="I1083" s="1" t="s">
        <v>46</v>
      </c>
    </row>
    <row r="1084" spans="1:9" x14ac:dyDescent="0.3">
      <c r="A1084" s="1" t="s">
        <v>1113</v>
      </c>
      <c r="B1084" s="1" t="s">
        <v>28</v>
      </c>
      <c r="C1084" s="2">
        <v>43294</v>
      </c>
      <c r="D1084" s="1" t="s">
        <v>10</v>
      </c>
      <c r="E1084" s="1">
        <v>16</v>
      </c>
      <c r="F1084" s="1">
        <v>80</v>
      </c>
      <c r="G1084" s="1">
        <v>1280</v>
      </c>
      <c r="H1084" s="1">
        <v>0.09</v>
      </c>
      <c r="I1084" s="1" t="s">
        <v>23</v>
      </c>
    </row>
    <row r="1085" spans="1:9" x14ac:dyDescent="0.3">
      <c r="A1085" s="1" t="s">
        <v>1114</v>
      </c>
      <c r="B1085" s="1" t="s">
        <v>9</v>
      </c>
      <c r="C1085" s="2">
        <v>43294</v>
      </c>
      <c r="D1085" s="1" t="s">
        <v>29</v>
      </c>
      <c r="E1085" s="1">
        <v>21</v>
      </c>
      <c r="F1085" s="1">
        <v>16</v>
      </c>
      <c r="G1085" s="1">
        <v>336</v>
      </c>
      <c r="H1085" s="1">
        <v>0.09</v>
      </c>
      <c r="I1085" s="1" t="s">
        <v>26</v>
      </c>
    </row>
    <row r="1086" spans="1:9" x14ac:dyDescent="0.3">
      <c r="A1086" s="1" t="s">
        <v>1115</v>
      </c>
      <c r="B1086" s="1" t="s">
        <v>9</v>
      </c>
      <c r="C1086" s="2">
        <v>43294</v>
      </c>
      <c r="D1086" s="1" t="s">
        <v>29</v>
      </c>
      <c r="E1086" s="1">
        <v>22</v>
      </c>
      <c r="F1086" s="1">
        <v>16</v>
      </c>
      <c r="G1086" s="1">
        <v>352</v>
      </c>
      <c r="H1086" s="1">
        <v>0.01</v>
      </c>
      <c r="I1086" s="1" t="s">
        <v>15</v>
      </c>
    </row>
    <row r="1087" spans="1:9" x14ac:dyDescent="0.3">
      <c r="A1087" s="1" t="s">
        <v>1116</v>
      </c>
      <c r="B1087" s="1" t="s">
        <v>25</v>
      </c>
      <c r="C1087" s="2">
        <v>43294</v>
      </c>
      <c r="D1087" s="1" t="s">
        <v>17</v>
      </c>
      <c r="E1087" s="1">
        <v>23</v>
      </c>
      <c r="F1087" s="1">
        <v>230</v>
      </c>
      <c r="G1087" s="1">
        <v>5290</v>
      </c>
      <c r="H1087" s="1">
        <v>0.06</v>
      </c>
      <c r="I1087" s="1" t="s">
        <v>18</v>
      </c>
    </row>
    <row r="1088" spans="1:9" x14ac:dyDescent="0.3">
      <c r="A1088" s="1" t="s">
        <v>1117</v>
      </c>
      <c r="B1088" s="1" t="s">
        <v>9</v>
      </c>
      <c r="C1088" s="2">
        <v>43294</v>
      </c>
      <c r="D1088" s="1" t="s">
        <v>32</v>
      </c>
      <c r="E1088" s="1">
        <v>9</v>
      </c>
      <c r="F1088" s="1">
        <v>150</v>
      </c>
      <c r="G1088" s="1">
        <v>1350</v>
      </c>
      <c r="H1088" s="1">
        <v>0.1</v>
      </c>
      <c r="I1088" s="1" t="s">
        <v>46</v>
      </c>
    </row>
    <row r="1089" spans="1:9" x14ac:dyDescent="0.3">
      <c r="A1089" s="1" t="s">
        <v>1118</v>
      </c>
      <c r="B1089" s="1" t="s">
        <v>22</v>
      </c>
      <c r="C1089" s="2">
        <v>43294</v>
      </c>
      <c r="D1089" s="1" t="s">
        <v>32</v>
      </c>
      <c r="E1089" s="1">
        <v>9</v>
      </c>
      <c r="F1089" s="1">
        <v>150</v>
      </c>
      <c r="G1089" s="1">
        <v>1350</v>
      </c>
      <c r="H1089" s="1">
        <v>0.06</v>
      </c>
      <c r="I1089" s="1" t="s">
        <v>23</v>
      </c>
    </row>
    <row r="1090" spans="1:9" x14ac:dyDescent="0.3">
      <c r="A1090" s="1" t="s">
        <v>1119</v>
      </c>
      <c r="B1090" s="1" t="s">
        <v>9</v>
      </c>
      <c r="C1090" s="2">
        <v>43295</v>
      </c>
      <c r="D1090" s="1" t="s">
        <v>17</v>
      </c>
      <c r="E1090" s="1">
        <v>9</v>
      </c>
      <c r="F1090" s="1">
        <v>230</v>
      </c>
      <c r="G1090" s="1">
        <v>2070</v>
      </c>
      <c r="H1090" s="1">
        <v>7.0000000000000007E-2</v>
      </c>
      <c r="I1090" s="1" t="s">
        <v>26</v>
      </c>
    </row>
    <row r="1091" spans="1:9" x14ac:dyDescent="0.3">
      <c r="A1091" s="1" t="s">
        <v>1120</v>
      </c>
      <c r="B1091" s="1" t="s">
        <v>22</v>
      </c>
      <c r="C1091" s="2">
        <v>43295</v>
      </c>
      <c r="D1091" s="1" t="s">
        <v>10</v>
      </c>
      <c r="E1091" s="1">
        <v>10</v>
      </c>
      <c r="F1091" s="1">
        <v>80</v>
      </c>
      <c r="G1091" s="1">
        <v>800</v>
      </c>
      <c r="H1091" s="1">
        <v>0.08</v>
      </c>
      <c r="I1091" s="1" t="s">
        <v>30</v>
      </c>
    </row>
    <row r="1092" spans="1:9" x14ac:dyDescent="0.3">
      <c r="A1092" s="1" t="s">
        <v>1121</v>
      </c>
      <c r="B1092" s="1" t="s">
        <v>22</v>
      </c>
      <c r="C1092" s="2">
        <v>43295</v>
      </c>
      <c r="D1092" s="1" t="s">
        <v>29</v>
      </c>
      <c r="E1092" s="1">
        <v>23</v>
      </c>
      <c r="F1092" s="1">
        <v>16</v>
      </c>
      <c r="G1092" s="1">
        <v>368</v>
      </c>
      <c r="H1092" s="1">
        <v>0.11</v>
      </c>
      <c r="I1092" s="1" t="s">
        <v>33</v>
      </c>
    </row>
    <row r="1093" spans="1:9" x14ac:dyDescent="0.3">
      <c r="A1093" s="1" t="s">
        <v>1122</v>
      </c>
      <c r="B1093" s="1" t="s">
        <v>25</v>
      </c>
      <c r="C1093" s="2">
        <v>43295</v>
      </c>
      <c r="D1093" s="1" t="s">
        <v>10</v>
      </c>
      <c r="E1093" s="1">
        <v>22</v>
      </c>
      <c r="F1093" s="1">
        <v>80</v>
      </c>
      <c r="G1093" s="1">
        <v>1760</v>
      </c>
      <c r="H1093" s="1">
        <v>0.03</v>
      </c>
      <c r="I1093" s="1" t="s">
        <v>35</v>
      </c>
    </row>
    <row r="1094" spans="1:9" x14ac:dyDescent="0.3">
      <c r="A1094" s="1" t="s">
        <v>1123</v>
      </c>
      <c r="B1094" s="1" t="s">
        <v>25</v>
      </c>
      <c r="C1094" s="2">
        <v>43295</v>
      </c>
      <c r="D1094" s="1" t="s">
        <v>10</v>
      </c>
      <c r="E1094" s="1">
        <v>4</v>
      </c>
      <c r="F1094" s="1">
        <v>80</v>
      </c>
      <c r="G1094" s="1">
        <v>320</v>
      </c>
      <c r="H1094" s="1">
        <v>0.11</v>
      </c>
      <c r="I1094" s="1" t="s">
        <v>37</v>
      </c>
    </row>
    <row r="1095" spans="1:9" x14ac:dyDescent="0.3">
      <c r="A1095" s="1" t="s">
        <v>1124</v>
      </c>
      <c r="B1095" s="1" t="s">
        <v>9</v>
      </c>
      <c r="C1095" s="2">
        <v>43295</v>
      </c>
      <c r="D1095" s="1" t="s">
        <v>29</v>
      </c>
      <c r="E1095" s="1">
        <v>22</v>
      </c>
      <c r="F1095" s="1">
        <v>16</v>
      </c>
      <c r="G1095" s="1">
        <v>352</v>
      </c>
      <c r="H1095" s="1">
        <v>0.06</v>
      </c>
      <c r="I1095" s="1" t="s">
        <v>39</v>
      </c>
    </row>
    <row r="1096" spans="1:9" x14ac:dyDescent="0.3">
      <c r="A1096" s="1" t="s">
        <v>1125</v>
      </c>
      <c r="B1096" s="1" t="s">
        <v>13</v>
      </c>
      <c r="C1096" s="2">
        <v>43295</v>
      </c>
      <c r="D1096" s="1" t="s">
        <v>14</v>
      </c>
      <c r="E1096" s="1">
        <v>15</v>
      </c>
      <c r="F1096" s="1">
        <v>40</v>
      </c>
      <c r="G1096" s="1">
        <v>600</v>
      </c>
      <c r="H1096" s="1">
        <v>0.02</v>
      </c>
      <c r="I1096" s="1" t="s">
        <v>41</v>
      </c>
    </row>
    <row r="1097" spans="1:9" x14ac:dyDescent="0.3">
      <c r="A1097" s="1" t="s">
        <v>1126</v>
      </c>
      <c r="B1097" s="1" t="s">
        <v>28</v>
      </c>
      <c r="C1097" s="2">
        <v>43295</v>
      </c>
      <c r="D1097" s="1" t="s">
        <v>14</v>
      </c>
      <c r="E1097" s="1">
        <v>7</v>
      </c>
      <c r="F1097" s="1">
        <v>40</v>
      </c>
      <c r="G1097" s="1">
        <v>280</v>
      </c>
      <c r="H1097" s="1">
        <v>0.04</v>
      </c>
      <c r="I1097" s="1" t="s">
        <v>11</v>
      </c>
    </row>
    <row r="1098" spans="1:9" x14ac:dyDescent="0.3">
      <c r="A1098" s="1" t="s">
        <v>1127</v>
      </c>
      <c r="B1098" s="1" t="s">
        <v>28</v>
      </c>
      <c r="C1098" s="2">
        <v>43295</v>
      </c>
      <c r="D1098" s="1" t="s">
        <v>29</v>
      </c>
      <c r="E1098" s="1">
        <v>2</v>
      </c>
      <c r="F1098" s="1">
        <v>16</v>
      </c>
      <c r="G1098" s="1">
        <v>32</v>
      </c>
      <c r="H1098" s="1">
        <v>0.04</v>
      </c>
      <c r="I1098" s="1" t="s">
        <v>15</v>
      </c>
    </row>
    <row r="1099" spans="1:9" x14ac:dyDescent="0.3">
      <c r="A1099" s="1" t="s">
        <v>1128</v>
      </c>
      <c r="B1099" s="1" t="s">
        <v>25</v>
      </c>
      <c r="C1099" s="2">
        <v>43295</v>
      </c>
      <c r="D1099" s="1" t="s">
        <v>10</v>
      </c>
      <c r="E1099" s="1">
        <v>7</v>
      </c>
      <c r="F1099" s="1">
        <v>80</v>
      </c>
      <c r="G1099" s="1">
        <v>560</v>
      </c>
      <c r="H1099" s="1">
        <v>0.02</v>
      </c>
      <c r="I1099" s="1" t="s">
        <v>18</v>
      </c>
    </row>
    <row r="1100" spans="1:9" x14ac:dyDescent="0.3">
      <c r="A1100" s="1" t="s">
        <v>1129</v>
      </c>
      <c r="B1100" s="1" t="s">
        <v>28</v>
      </c>
      <c r="C1100" s="2">
        <v>43296</v>
      </c>
      <c r="D1100" s="1" t="s">
        <v>29</v>
      </c>
      <c r="E1100" s="1">
        <v>22</v>
      </c>
      <c r="F1100" s="1">
        <v>16</v>
      </c>
      <c r="G1100" s="1">
        <v>352</v>
      </c>
      <c r="H1100" s="1">
        <v>0.12</v>
      </c>
      <c r="I1100" s="1" t="s">
        <v>46</v>
      </c>
    </row>
    <row r="1101" spans="1:9" x14ac:dyDescent="0.3">
      <c r="A1101" s="1" t="s">
        <v>1130</v>
      </c>
      <c r="B1101" s="1" t="s">
        <v>13</v>
      </c>
      <c r="C1101" s="2">
        <v>43296</v>
      </c>
      <c r="D1101" s="1" t="s">
        <v>14</v>
      </c>
      <c r="E1101" s="1">
        <v>21</v>
      </c>
      <c r="F1101" s="1">
        <v>40</v>
      </c>
      <c r="G1101" s="1">
        <v>840</v>
      </c>
      <c r="H1101" s="1">
        <v>0.03</v>
      </c>
      <c r="I1101" s="1" t="s">
        <v>23</v>
      </c>
    </row>
    <row r="1102" spans="1:9" x14ac:dyDescent="0.3">
      <c r="A1102" s="1" t="s">
        <v>1131</v>
      </c>
      <c r="B1102" s="1" t="s">
        <v>9</v>
      </c>
      <c r="C1102" s="2">
        <v>43296</v>
      </c>
      <c r="D1102" s="1" t="s">
        <v>10</v>
      </c>
      <c r="E1102" s="1">
        <v>6</v>
      </c>
      <c r="F1102" s="1">
        <v>80</v>
      </c>
      <c r="G1102" s="1">
        <v>480</v>
      </c>
      <c r="H1102" s="1">
        <v>0.01</v>
      </c>
      <c r="I1102" s="1" t="s">
        <v>26</v>
      </c>
    </row>
    <row r="1103" spans="1:9" x14ac:dyDescent="0.3">
      <c r="A1103" s="1" t="s">
        <v>1132</v>
      </c>
      <c r="B1103" s="1" t="s">
        <v>28</v>
      </c>
      <c r="C1103" s="2">
        <v>43296</v>
      </c>
      <c r="D1103" s="1" t="s">
        <v>10</v>
      </c>
      <c r="E1103" s="1">
        <v>13</v>
      </c>
      <c r="F1103" s="1">
        <v>80</v>
      </c>
      <c r="G1103" s="1">
        <v>1040</v>
      </c>
      <c r="H1103" s="1">
        <v>0.05</v>
      </c>
      <c r="I1103" s="1" t="s">
        <v>15</v>
      </c>
    </row>
    <row r="1104" spans="1:9" x14ac:dyDescent="0.3">
      <c r="A1104" s="1" t="s">
        <v>1133</v>
      </c>
      <c r="B1104" s="1" t="s">
        <v>25</v>
      </c>
      <c r="C1104" s="2">
        <v>43296</v>
      </c>
      <c r="D1104" s="1" t="s">
        <v>10</v>
      </c>
      <c r="E1104" s="1">
        <v>11</v>
      </c>
      <c r="F1104" s="1">
        <v>80</v>
      </c>
      <c r="G1104" s="1">
        <v>880</v>
      </c>
      <c r="H1104" s="1">
        <v>0.01</v>
      </c>
      <c r="I1104" s="1" t="s">
        <v>18</v>
      </c>
    </row>
    <row r="1105" spans="1:9" x14ac:dyDescent="0.3">
      <c r="A1105" s="1" t="s">
        <v>1134</v>
      </c>
      <c r="B1105" s="1" t="s">
        <v>9</v>
      </c>
      <c r="C1105" s="2">
        <v>43296</v>
      </c>
      <c r="D1105" s="1" t="s">
        <v>14</v>
      </c>
      <c r="E1105" s="1">
        <v>18</v>
      </c>
      <c r="F1105" s="1">
        <v>40</v>
      </c>
      <c r="G1105" s="1">
        <v>720</v>
      </c>
      <c r="H1105" s="1">
        <v>0.06</v>
      </c>
      <c r="I1105" s="1" t="s">
        <v>46</v>
      </c>
    </row>
    <row r="1106" spans="1:9" x14ac:dyDescent="0.3">
      <c r="A1106" s="1" t="s">
        <v>1135</v>
      </c>
      <c r="B1106" s="1" t="s">
        <v>25</v>
      </c>
      <c r="C1106" s="2">
        <v>43296</v>
      </c>
      <c r="D1106" s="1" t="s">
        <v>32</v>
      </c>
      <c r="E1106" s="1">
        <v>7</v>
      </c>
      <c r="F1106" s="1">
        <v>150</v>
      </c>
      <c r="G1106" s="1">
        <v>1050</v>
      </c>
      <c r="H1106" s="1">
        <v>0.05</v>
      </c>
      <c r="I1106" s="1" t="s">
        <v>23</v>
      </c>
    </row>
    <row r="1107" spans="1:9" x14ac:dyDescent="0.3">
      <c r="A1107" s="1" t="s">
        <v>1136</v>
      </c>
      <c r="B1107" s="1" t="s">
        <v>9</v>
      </c>
      <c r="C1107" s="2">
        <v>43296</v>
      </c>
      <c r="D1107" s="1" t="s">
        <v>14</v>
      </c>
      <c r="E1107" s="1">
        <v>2</v>
      </c>
      <c r="F1107" s="1">
        <v>40</v>
      </c>
      <c r="G1107" s="1">
        <v>80</v>
      </c>
      <c r="H1107" s="1">
        <v>0.12</v>
      </c>
      <c r="I1107" s="1" t="s">
        <v>26</v>
      </c>
    </row>
    <row r="1108" spans="1:9" x14ac:dyDescent="0.3">
      <c r="A1108" s="1" t="s">
        <v>1137</v>
      </c>
      <c r="B1108" s="1" t="s">
        <v>13</v>
      </c>
      <c r="C1108" s="2">
        <v>43296</v>
      </c>
      <c r="D1108" s="1" t="s">
        <v>10</v>
      </c>
      <c r="E1108" s="1">
        <v>14</v>
      </c>
      <c r="F1108" s="1">
        <v>80</v>
      </c>
      <c r="G1108" s="1">
        <v>1120</v>
      </c>
      <c r="H1108" s="1">
        <v>0.06</v>
      </c>
      <c r="I1108" s="1" t="s">
        <v>30</v>
      </c>
    </row>
    <row r="1109" spans="1:9" x14ac:dyDescent="0.3">
      <c r="A1109" s="1" t="s">
        <v>1138</v>
      </c>
      <c r="B1109" s="1" t="s">
        <v>28</v>
      </c>
      <c r="C1109" s="2">
        <v>43296</v>
      </c>
      <c r="D1109" s="1" t="s">
        <v>32</v>
      </c>
      <c r="E1109" s="1">
        <v>7</v>
      </c>
      <c r="F1109" s="1">
        <v>150</v>
      </c>
      <c r="G1109" s="1">
        <v>1050</v>
      </c>
      <c r="H1109" s="1">
        <v>0.03</v>
      </c>
      <c r="I1109" s="1" t="s">
        <v>33</v>
      </c>
    </row>
    <row r="1110" spans="1:9" x14ac:dyDescent="0.3">
      <c r="A1110" s="1" t="s">
        <v>1139</v>
      </c>
      <c r="B1110" s="1" t="s">
        <v>25</v>
      </c>
      <c r="C1110" s="2">
        <v>43296</v>
      </c>
      <c r="D1110" s="1" t="s">
        <v>29</v>
      </c>
      <c r="E1110" s="1">
        <v>10</v>
      </c>
      <c r="F1110" s="1">
        <v>16</v>
      </c>
      <c r="G1110" s="1">
        <v>160</v>
      </c>
      <c r="H1110" s="1">
        <v>0.01</v>
      </c>
      <c r="I1110" s="1" t="s">
        <v>35</v>
      </c>
    </row>
    <row r="1111" spans="1:9" x14ac:dyDescent="0.3">
      <c r="A1111" s="1" t="s">
        <v>1140</v>
      </c>
      <c r="B1111" s="1" t="s">
        <v>13</v>
      </c>
      <c r="C1111" s="2">
        <v>43297</v>
      </c>
      <c r="D1111" s="1" t="s">
        <v>14</v>
      </c>
      <c r="E1111" s="1">
        <v>7</v>
      </c>
      <c r="F1111" s="1">
        <v>40</v>
      </c>
      <c r="G1111" s="1">
        <v>280</v>
      </c>
      <c r="H1111" s="1">
        <v>0.01</v>
      </c>
      <c r="I1111" s="1" t="s">
        <v>37</v>
      </c>
    </row>
    <row r="1112" spans="1:9" x14ac:dyDescent="0.3">
      <c r="A1112" s="1" t="s">
        <v>1141</v>
      </c>
      <c r="B1112" s="1" t="s">
        <v>25</v>
      </c>
      <c r="C1112" s="2">
        <v>43297</v>
      </c>
      <c r="D1112" s="1" t="s">
        <v>29</v>
      </c>
      <c r="E1112" s="1">
        <v>7</v>
      </c>
      <c r="F1112" s="1">
        <v>16</v>
      </c>
      <c r="G1112" s="1">
        <v>112</v>
      </c>
      <c r="H1112" s="1">
        <v>0.08</v>
      </c>
      <c r="I1112" s="1" t="s">
        <v>39</v>
      </c>
    </row>
    <row r="1113" spans="1:9" x14ac:dyDescent="0.3">
      <c r="A1113" s="1" t="s">
        <v>1142</v>
      </c>
      <c r="B1113" s="1" t="s">
        <v>22</v>
      </c>
      <c r="C1113" s="2">
        <v>43297</v>
      </c>
      <c r="D1113" s="1" t="s">
        <v>32</v>
      </c>
      <c r="E1113" s="1">
        <v>15</v>
      </c>
      <c r="F1113" s="1">
        <v>150</v>
      </c>
      <c r="G1113" s="1">
        <v>2250</v>
      </c>
      <c r="H1113" s="1">
        <v>0.05</v>
      </c>
      <c r="I1113" s="1" t="s">
        <v>41</v>
      </c>
    </row>
    <row r="1114" spans="1:9" x14ac:dyDescent="0.3">
      <c r="A1114" s="1" t="s">
        <v>1143</v>
      </c>
      <c r="B1114" s="1" t="s">
        <v>9</v>
      </c>
      <c r="C1114" s="2">
        <v>43297</v>
      </c>
      <c r="D1114" s="1" t="s">
        <v>10</v>
      </c>
      <c r="E1114" s="1">
        <v>7</v>
      </c>
      <c r="F1114" s="1">
        <v>80</v>
      </c>
      <c r="G1114" s="1">
        <v>560</v>
      </c>
      <c r="H1114" s="1">
        <v>0.02</v>
      </c>
      <c r="I1114" s="1" t="s">
        <v>11</v>
      </c>
    </row>
    <row r="1115" spans="1:9" x14ac:dyDescent="0.3">
      <c r="A1115" s="1" t="s">
        <v>1144</v>
      </c>
      <c r="B1115" s="1" t="s">
        <v>22</v>
      </c>
      <c r="C1115" s="2">
        <v>43297</v>
      </c>
      <c r="D1115" s="1" t="s">
        <v>14</v>
      </c>
      <c r="E1115" s="1">
        <v>6</v>
      </c>
      <c r="F1115" s="1">
        <v>40</v>
      </c>
      <c r="G1115" s="1">
        <v>240</v>
      </c>
      <c r="H1115" s="1">
        <v>0.06</v>
      </c>
      <c r="I1115" s="1" t="s">
        <v>15</v>
      </c>
    </row>
    <row r="1116" spans="1:9" x14ac:dyDescent="0.3">
      <c r="A1116" s="1" t="s">
        <v>1145</v>
      </c>
      <c r="B1116" s="1" t="s">
        <v>9</v>
      </c>
      <c r="C1116" s="2">
        <v>43297</v>
      </c>
      <c r="D1116" s="1" t="s">
        <v>17</v>
      </c>
      <c r="E1116" s="1">
        <v>3</v>
      </c>
      <c r="F1116" s="1">
        <v>230</v>
      </c>
      <c r="G1116" s="1">
        <v>690</v>
      </c>
      <c r="H1116" s="1">
        <v>0.06</v>
      </c>
      <c r="I1116" s="1" t="s">
        <v>18</v>
      </c>
    </row>
    <row r="1117" spans="1:9" x14ac:dyDescent="0.3">
      <c r="A1117" s="1" t="s">
        <v>1146</v>
      </c>
      <c r="B1117" s="1" t="s">
        <v>22</v>
      </c>
      <c r="C1117" s="2">
        <v>43297</v>
      </c>
      <c r="D1117" s="1" t="s">
        <v>32</v>
      </c>
      <c r="E1117" s="1">
        <v>20</v>
      </c>
      <c r="F1117" s="1">
        <v>150</v>
      </c>
      <c r="G1117" s="1">
        <v>3000</v>
      </c>
      <c r="H1117" s="1">
        <v>0.04</v>
      </c>
      <c r="I1117" s="1" t="s">
        <v>46</v>
      </c>
    </row>
    <row r="1118" spans="1:9" x14ac:dyDescent="0.3">
      <c r="A1118" s="1" t="s">
        <v>1147</v>
      </c>
      <c r="B1118" s="1" t="s">
        <v>22</v>
      </c>
      <c r="C1118" s="2">
        <v>43297</v>
      </c>
      <c r="D1118" s="1" t="s">
        <v>17</v>
      </c>
      <c r="E1118" s="1">
        <v>20</v>
      </c>
      <c r="F1118" s="1">
        <v>230</v>
      </c>
      <c r="G1118" s="1">
        <v>4600</v>
      </c>
      <c r="H1118" s="1">
        <v>0.06</v>
      </c>
      <c r="I1118" s="1" t="s">
        <v>23</v>
      </c>
    </row>
    <row r="1119" spans="1:9" x14ac:dyDescent="0.3">
      <c r="A1119" s="1" t="s">
        <v>1148</v>
      </c>
      <c r="B1119" s="1" t="s">
        <v>22</v>
      </c>
      <c r="C1119" s="2">
        <v>43297</v>
      </c>
      <c r="D1119" s="1" t="s">
        <v>29</v>
      </c>
      <c r="E1119" s="1">
        <v>14</v>
      </c>
      <c r="F1119" s="1">
        <v>16</v>
      </c>
      <c r="G1119" s="1">
        <v>224</v>
      </c>
      <c r="H1119" s="1">
        <v>0.01</v>
      </c>
      <c r="I1119" s="1" t="s">
        <v>26</v>
      </c>
    </row>
    <row r="1120" spans="1:9" x14ac:dyDescent="0.3">
      <c r="A1120" s="1" t="s">
        <v>1149</v>
      </c>
      <c r="B1120" s="1" t="s">
        <v>22</v>
      </c>
      <c r="C1120" s="2">
        <v>43297</v>
      </c>
      <c r="D1120" s="1" t="s">
        <v>32</v>
      </c>
      <c r="E1120" s="1">
        <v>20</v>
      </c>
      <c r="F1120" s="1">
        <v>150</v>
      </c>
      <c r="G1120" s="1">
        <v>3000</v>
      </c>
      <c r="H1120" s="1">
        <v>0.04</v>
      </c>
      <c r="I1120" s="1" t="s">
        <v>15</v>
      </c>
    </row>
    <row r="1121" spans="1:9" x14ac:dyDescent="0.3">
      <c r="A1121" s="1" t="s">
        <v>1150</v>
      </c>
      <c r="B1121" s="1" t="s">
        <v>9</v>
      </c>
      <c r="C1121" s="2">
        <v>43297</v>
      </c>
      <c r="D1121" s="1" t="s">
        <v>10</v>
      </c>
      <c r="E1121" s="1">
        <v>17</v>
      </c>
      <c r="F1121" s="1">
        <v>80</v>
      </c>
      <c r="G1121" s="1">
        <v>1360</v>
      </c>
      <c r="H1121" s="1">
        <v>0.09</v>
      </c>
      <c r="I1121" s="1" t="s">
        <v>18</v>
      </c>
    </row>
    <row r="1122" spans="1:9" x14ac:dyDescent="0.3">
      <c r="A1122" s="1" t="s">
        <v>1151</v>
      </c>
      <c r="B1122" s="1" t="s">
        <v>22</v>
      </c>
      <c r="C1122" s="2">
        <v>43298</v>
      </c>
      <c r="D1122" s="1" t="s">
        <v>32</v>
      </c>
      <c r="E1122" s="1">
        <v>20</v>
      </c>
      <c r="F1122" s="1">
        <v>150</v>
      </c>
      <c r="G1122" s="1">
        <v>3000</v>
      </c>
      <c r="H1122" s="1">
        <v>0.12</v>
      </c>
      <c r="I1122" s="1" t="s">
        <v>46</v>
      </c>
    </row>
    <row r="1123" spans="1:9" x14ac:dyDescent="0.3">
      <c r="A1123" s="1" t="s">
        <v>1152</v>
      </c>
      <c r="B1123" s="1" t="s">
        <v>22</v>
      </c>
      <c r="C1123" s="2">
        <v>43298</v>
      </c>
      <c r="D1123" s="1" t="s">
        <v>29</v>
      </c>
      <c r="E1123" s="1">
        <v>11</v>
      </c>
      <c r="F1123" s="1">
        <v>16</v>
      </c>
      <c r="G1123" s="1">
        <v>176</v>
      </c>
      <c r="H1123" s="1">
        <v>0.04</v>
      </c>
      <c r="I1123" s="1" t="s">
        <v>23</v>
      </c>
    </row>
    <row r="1124" spans="1:9" x14ac:dyDescent="0.3">
      <c r="A1124" s="1" t="s">
        <v>1153</v>
      </c>
      <c r="B1124" s="1" t="s">
        <v>28</v>
      </c>
      <c r="C1124" s="2">
        <v>43298</v>
      </c>
      <c r="D1124" s="1" t="s">
        <v>17</v>
      </c>
      <c r="E1124" s="1">
        <v>7</v>
      </c>
      <c r="F1124" s="1">
        <v>230</v>
      </c>
      <c r="G1124" s="1">
        <v>1610</v>
      </c>
      <c r="H1124" s="1">
        <v>0.05</v>
      </c>
      <c r="I1124" s="1" t="s">
        <v>26</v>
      </c>
    </row>
    <row r="1125" spans="1:9" x14ac:dyDescent="0.3">
      <c r="A1125" s="1" t="s">
        <v>1154</v>
      </c>
      <c r="B1125" s="1" t="s">
        <v>13</v>
      </c>
      <c r="C1125" s="2">
        <v>43298</v>
      </c>
      <c r="D1125" s="1" t="s">
        <v>14</v>
      </c>
      <c r="E1125" s="1">
        <v>14</v>
      </c>
      <c r="F1125" s="1">
        <v>40</v>
      </c>
      <c r="G1125" s="1">
        <v>560</v>
      </c>
      <c r="H1125" s="1">
        <v>0.06</v>
      </c>
      <c r="I1125" s="1" t="s">
        <v>30</v>
      </c>
    </row>
    <row r="1126" spans="1:9" x14ac:dyDescent="0.3">
      <c r="A1126" s="1" t="s">
        <v>1155</v>
      </c>
      <c r="B1126" s="1" t="s">
        <v>13</v>
      </c>
      <c r="C1126" s="2">
        <v>43298</v>
      </c>
      <c r="D1126" s="1" t="s">
        <v>10</v>
      </c>
      <c r="E1126" s="1">
        <v>13</v>
      </c>
      <c r="F1126" s="1">
        <v>80</v>
      </c>
      <c r="G1126" s="1">
        <v>1040</v>
      </c>
      <c r="H1126" s="1">
        <v>0.06</v>
      </c>
      <c r="I1126" s="1" t="s">
        <v>33</v>
      </c>
    </row>
    <row r="1127" spans="1:9" x14ac:dyDescent="0.3">
      <c r="A1127" s="1" t="s">
        <v>1156</v>
      </c>
      <c r="B1127" s="1" t="s">
        <v>22</v>
      </c>
      <c r="C1127" s="2">
        <v>43298</v>
      </c>
      <c r="D1127" s="1" t="s">
        <v>29</v>
      </c>
      <c r="E1127" s="1">
        <v>17</v>
      </c>
      <c r="F1127" s="1">
        <v>16</v>
      </c>
      <c r="G1127" s="1">
        <v>272</v>
      </c>
      <c r="H1127" s="1">
        <v>0.05</v>
      </c>
      <c r="I1127" s="1" t="s">
        <v>35</v>
      </c>
    </row>
    <row r="1128" spans="1:9" x14ac:dyDescent="0.3">
      <c r="A1128" s="1" t="s">
        <v>1157</v>
      </c>
      <c r="B1128" s="1" t="s">
        <v>22</v>
      </c>
      <c r="C1128" s="2">
        <v>43298</v>
      </c>
      <c r="D1128" s="1" t="s">
        <v>17</v>
      </c>
      <c r="E1128" s="1">
        <v>12</v>
      </c>
      <c r="F1128" s="1">
        <v>230</v>
      </c>
      <c r="G1128" s="1">
        <v>2760</v>
      </c>
      <c r="H1128" s="1">
        <v>0.03</v>
      </c>
      <c r="I1128" s="1" t="s">
        <v>37</v>
      </c>
    </row>
    <row r="1129" spans="1:9" x14ac:dyDescent="0.3">
      <c r="A1129" s="1" t="s">
        <v>1158</v>
      </c>
      <c r="B1129" s="1" t="s">
        <v>13</v>
      </c>
      <c r="C1129" s="2">
        <v>43298</v>
      </c>
      <c r="D1129" s="1" t="s">
        <v>14</v>
      </c>
      <c r="E1129" s="1">
        <v>4</v>
      </c>
      <c r="F1129" s="1">
        <v>40</v>
      </c>
      <c r="G1129" s="1">
        <v>160</v>
      </c>
      <c r="H1129" s="1">
        <v>0.12</v>
      </c>
      <c r="I1129" s="1" t="s">
        <v>39</v>
      </c>
    </row>
    <row r="1130" spans="1:9" x14ac:dyDescent="0.3">
      <c r="A1130" s="1" t="s">
        <v>1159</v>
      </c>
      <c r="B1130" s="1" t="s">
        <v>9</v>
      </c>
      <c r="C1130" s="2">
        <v>43298</v>
      </c>
      <c r="D1130" s="1" t="s">
        <v>29</v>
      </c>
      <c r="E1130" s="1">
        <v>20</v>
      </c>
      <c r="F1130" s="1">
        <v>16</v>
      </c>
      <c r="G1130" s="1">
        <v>320</v>
      </c>
      <c r="H1130" s="1">
        <v>0.01</v>
      </c>
      <c r="I1130" s="1" t="s">
        <v>41</v>
      </c>
    </row>
    <row r="1131" spans="1:9" x14ac:dyDescent="0.3">
      <c r="A1131" s="1" t="s">
        <v>1160</v>
      </c>
      <c r="B1131" s="1" t="s">
        <v>25</v>
      </c>
      <c r="C1131" s="2">
        <v>43298</v>
      </c>
      <c r="D1131" s="1" t="s">
        <v>10</v>
      </c>
      <c r="E1131" s="1">
        <v>8</v>
      </c>
      <c r="F1131" s="1">
        <v>80</v>
      </c>
      <c r="G1131" s="1">
        <v>640</v>
      </c>
      <c r="H1131" s="1">
        <v>0.06</v>
      </c>
      <c r="I1131" s="1" t="s">
        <v>11</v>
      </c>
    </row>
    <row r="1132" spans="1:9" x14ac:dyDescent="0.3">
      <c r="A1132" s="1" t="s">
        <v>1161</v>
      </c>
      <c r="B1132" s="1" t="s">
        <v>9</v>
      </c>
      <c r="C1132" s="2">
        <v>43298</v>
      </c>
      <c r="D1132" s="1" t="s">
        <v>10</v>
      </c>
      <c r="E1132" s="1">
        <v>18</v>
      </c>
      <c r="F1132" s="1">
        <v>80</v>
      </c>
      <c r="G1132" s="1">
        <v>1440</v>
      </c>
      <c r="H1132" s="1">
        <v>0.02</v>
      </c>
      <c r="I1132" s="1" t="s">
        <v>15</v>
      </c>
    </row>
    <row r="1133" spans="1:9" x14ac:dyDescent="0.3">
      <c r="A1133" s="1" t="s">
        <v>1162</v>
      </c>
      <c r="B1133" s="1" t="s">
        <v>22</v>
      </c>
      <c r="C1133" s="2">
        <v>43298</v>
      </c>
      <c r="D1133" s="1" t="s">
        <v>29</v>
      </c>
      <c r="E1133" s="1">
        <v>6</v>
      </c>
      <c r="F1133" s="1">
        <v>16</v>
      </c>
      <c r="G1133" s="1">
        <v>96</v>
      </c>
      <c r="H1133" s="1">
        <v>0.06</v>
      </c>
      <c r="I1133" s="1" t="s">
        <v>18</v>
      </c>
    </row>
    <row r="1134" spans="1:9" x14ac:dyDescent="0.3">
      <c r="A1134" s="1" t="s">
        <v>1163</v>
      </c>
      <c r="B1134" s="1" t="s">
        <v>9</v>
      </c>
      <c r="C1134" s="2">
        <v>43298</v>
      </c>
      <c r="D1134" s="1" t="s">
        <v>10</v>
      </c>
      <c r="E1134" s="1">
        <v>9</v>
      </c>
      <c r="F1134" s="1">
        <v>80</v>
      </c>
      <c r="G1134" s="1">
        <v>720</v>
      </c>
      <c r="H1134" s="1">
        <v>0.04</v>
      </c>
      <c r="I1134" s="1" t="s">
        <v>46</v>
      </c>
    </row>
    <row r="1135" spans="1:9" x14ac:dyDescent="0.3">
      <c r="A1135" s="1" t="s">
        <v>1164</v>
      </c>
      <c r="B1135" s="1" t="s">
        <v>22</v>
      </c>
      <c r="C1135" s="2">
        <v>43299</v>
      </c>
      <c r="D1135" s="1" t="s">
        <v>10</v>
      </c>
      <c r="E1135" s="1">
        <v>8</v>
      </c>
      <c r="F1135" s="1">
        <v>80</v>
      </c>
      <c r="G1135" s="1">
        <v>640</v>
      </c>
      <c r="H1135" s="1">
        <v>0.02</v>
      </c>
      <c r="I1135" s="1" t="s">
        <v>23</v>
      </c>
    </row>
    <row r="1136" spans="1:9" x14ac:dyDescent="0.3">
      <c r="A1136" s="1" t="s">
        <v>1165</v>
      </c>
      <c r="B1136" s="1" t="s">
        <v>25</v>
      </c>
      <c r="C1136" s="2">
        <v>43299</v>
      </c>
      <c r="D1136" s="1" t="s">
        <v>32</v>
      </c>
      <c r="E1136" s="1">
        <v>6</v>
      </c>
      <c r="F1136" s="1">
        <v>150</v>
      </c>
      <c r="G1136" s="1">
        <v>900</v>
      </c>
      <c r="H1136" s="1">
        <v>0.03</v>
      </c>
      <c r="I1136" s="1" t="s">
        <v>26</v>
      </c>
    </row>
    <row r="1137" spans="1:9" x14ac:dyDescent="0.3">
      <c r="A1137" s="1" t="s">
        <v>1166</v>
      </c>
      <c r="B1137" s="1" t="s">
        <v>25</v>
      </c>
      <c r="C1137" s="2">
        <v>43299</v>
      </c>
      <c r="D1137" s="1" t="s">
        <v>29</v>
      </c>
      <c r="E1137" s="1">
        <v>14</v>
      </c>
      <c r="F1137" s="1">
        <v>16</v>
      </c>
      <c r="G1137" s="1">
        <v>224</v>
      </c>
      <c r="H1137" s="1">
        <v>0.12</v>
      </c>
      <c r="I1137" s="1" t="s">
        <v>15</v>
      </c>
    </row>
    <row r="1138" spans="1:9" x14ac:dyDescent="0.3">
      <c r="A1138" s="1" t="s">
        <v>1167</v>
      </c>
      <c r="B1138" s="1" t="s">
        <v>22</v>
      </c>
      <c r="C1138" s="2">
        <v>43299</v>
      </c>
      <c r="D1138" s="1" t="s">
        <v>10</v>
      </c>
      <c r="E1138" s="1">
        <v>6</v>
      </c>
      <c r="F1138" s="1">
        <v>80</v>
      </c>
      <c r="G1138" s="1">
        <v>480</v>
      </c>
      <c r="H1138" s="1">
        <v>0.09</v>
      </c>
      <c r="I1138" s="1" t="s">
        <v>18</v>
      </c>
    </row>
    <row r="1139" spans="1:9" x14ac:dyDescent="0.3">
      <c r="A1139" s="1" t="s">
        <v>1168</v>
      </c>
      <c r="B1139" s="1" t="s">
        <v>28</v>
      </c>
      <c r="C1139" s="2">
        <v>43299</v>
      </c>
      <c r="D1139" s="1" t="s">
        <v>14</v>
      </c>
      <c r="E1139" s="1">
        <v>23</v>
      </c>
      <c r="F1139" s="1">
        <v>40</v>
      </c>
      <c r="G1139" s="1">
        <v>920</v>
      </c>
      <c r="H1139" s="1">
        <v>0.04</v>
      </c>
      <c r="I1139" s="1" t="s">
        <v>46</v>
      </c>
    </row>
    <row r="1140" spans="1:9" x14ac:dyDescent="0.3">
      <c r="A1140" s="1" t="s">
        <v>1169</v>
      </c>
      <c r="B1140" s="1" t="s">
        <v>22</v>
      </c>
      <c r="C1140" s="2">
        <v>43299</v>
      </c>
      <c r="D1140" s="1" t="s">
        <v>14</v>
      </c>
      <c r="E1140" s="1">
        <v>12</v>
      </c>
      <c r="F1140" s="1">
        <v>40</v>
      </c>
      <c r="G1140" s="1">
        <v>480</v>
      </c>
      <c r="H1140" s="1">
        <v>0.02</v>
      </c>
      <c r="I1140" s="1" t="s">
        <v>23</v>
      </c>
    </row>
    <row r="1141" spans="1:9" x14ac:dyDescent="0.3">
      <c r="A1141" s="1" t="s">
        <v>1170</v>
      </c>
      <c r="B1141" s="1" t="s">
        <v>25</v>
      </c>
      <c r="C1141" s="2">
        <v>43299</v>
      </c>
      <c r="D1141" s="1" t="s">
        <v>14</v>
      </c>
      <c r="E1141" s="1">
        <v>22</v>
      </c>
      <c r="F1141" s="1">
        <v>40</v>
      </c>
      <c r="G1141" s="1">
        <v>880</v>
      </c>
      <c r="H1141" s="1">
        <v>0.01</v>
      </c>
      <c r="I1141" s="1" t="s">
        <v>26</v>
      </c>
    </row>
    <row r="1142" spans="1:9" x14ac:dyDescent="0.3">
      <c r="A1142" s="1" t="s">
        <v>1171</v>
      </c>
      <c r="B1142" s="1" t="s">
        <v>25</v>
      </c>
      <c r="C1142" s="2">
        <v>43299</v>
      </c>
      <c r="D1142" s="1" t="s">
        <v>32</v>
      </c>
      <c r="E1142" s="1">
        <v>6</v>
      </c>
      <c r="F1142" s="1">
        <v>150</v>
      </c>
      <c r="G1142" s="1">
        <v>900</v>
      </c>
      <c r="H1142" s="1">
        <v>0.03</v>
      </c>
      <c r="I1142" s="1" t="s">
        <v>30</v>
      </c>
    </row>
    <row r="1143" spans="1:9" x14ac:dyDescent="0.3">
      <c r="A1143" s="1" t="s">
        <v>1172</v>
      </c>
      <c r="B1143" s="1" t="s">
        <v>28</v>
      </c>
      <c r="C1143" s="2">
        <v>43299</v>
      </c>
      <c r="D1143" s="1" t="s">
        <v>29</v>
      </c>
      <c r="E1143" s="1">
        <v>19</v>
      </c>
      <c r="F1143" s="1">
        <v>16</v>
      </c>
      <c r="G1143" s="1">
        <v>304</v>
      </c>
      <c r="H1143" s="1">
        <v>0.02</v>
      </c>
      <c r="I1143" s="1" t="s">
        <v>33</v>
      </c>
    </row>
    <row r="1144" spans="1:9" x14ac:dyDescent="0.3">
      <c r="A1144" s="1" t="s">
        <v>1173</v>
      </c>
      <c r="B1144" s="1" t="s">
        <v>22</v>
      </c>
      <c r="C1144" s="2">
        <v>43299</v>
      </c>
      <c r="D1144" s="1" t="s">
        <v>14</v>
      </c>
      <c r="E1144" s="1">
        <v>2</v>
      </c>
      <c r="F1144" s="1">
        <v>40</v>
      </c>
      <c r="G1144" s="1">
        <v>80</v>
      </c>
      <c r="H1144" s="1">
        <v>0.02</v>
      </c>
      <c r="I1144" s="1" t="s">
        <v>35</v>
      </c>
    </row>
    <row r="1145" spans="1:9" x14ac:dyDescent="0.3">
      <c r="A1145" s="1" t="s">
        <v>1174</v>
      </c>
      <c r="B1145" s="1" t="s">
        <v>25</v>
      </c>
      <c r="C1145" s="2">
        <v>43300</v>
      </c>
      <c r="D1145" s="1" t="s">
        <v>14</v>
      </c>
      <c r="E1145" s="1">
        <v>22</v>
      </c>
      <c r="F1145" s="1">
        <v>40</v>
      </c>
      <c r="G1145" s="1">
        <v>880</v>
      </c>
      <c r="H1145" s="1">
        <v>0.01</v>
      </c>
      <c r="I1145" s="1" t="s">
        <v>37</v>
      </c>
    </row>
    <row r="1146" spans="1:9" x14ac:dyDescent="0.3">
      <c r="A1146" s="1" t="s">
        <v>1175</v>
      </c>
      <c r="B1146" s="1" t="s">
        <v>25</v>
      </c>
      <c r="C1146" s="2">
        <v>43300</v>
      </c>
      <c r="D1146" s="1" t="s">
        <v>17</v>
      </c>
      <c r="E1146" s="1">
        <v>3</v>
      </c>
      <c r="F1146" s="1">
        <v>230</v>
      </c>
      <c r="G1146" s="1">
        <v>690</v>
      </c>
      <c r="H1146" s="1">
        <v>0.01</v>
      </c>
      <c r="I1146" s="1" t="s">
        <v>39</v>
      </c>
    </row>
    <row r="1147" spans="1:9" x14ac:dyDescent="0.3">
      <c r="A1147" s="1" t="s">
        <v>1176</v>
      </c>
      <c r="B1147" s="1" t="s">
        <v>25</v>
      </c>
      <c r="C1147" s="2">
        <v>43300</v>
      </c>
      <c r="D1147" s="1" t="s">
        <v>14</v>
      </c>
      <c r="E1147" s="1">
        <v>23</v>
      </c>
      <c r="F1147" s="1">
        <v>40</v>
      </c>
      <c r="G1147" s="1">
        <v>920</v>
      </c>
      <c r="H1147" s="1">
        <v>0.06</v>
      </c>
      <c r="I1147" s="1" t="s">
        <v>41</v>
      </c>
    </row>
    <row r="1148" spans="1:9" x14ac:dyDescent="0.3">
      <c r="A1148" s="1" t="s">
        <v>1177</v>
      </c>
      <c r="B1148" s="1" t="s">
        <v>28</v>
      </c>
      <c r="C1148" s="2">
        <v>43300</v>
      </c>
      <c r="D1148" s="1" t="s">
        <v>14</v>
      </c>
      <c r="E1148" s="1">
        <v>5</v>
      </c>
      <c r="F1148" s="1">
        <v>40</v>
      </c>
      <c r="G1148" s="1">
        <v>200</v>
      </c>
      <c r="H1148" s="1">
        <v>0.03</v>
      </c>
      <c r="I1148" s="1" t="s">
        <v>11</v>
      </c>
    </row>
    <row r="1149" spans="1:9" x14ac:dyDescent="0.3">
      <c r="A1149" s="1" t="s">
        <v>1178</v>
      </c>
      <c r="B1149" s="1" t="s">
        <v>9</v>
      </c>
      <c r="C1149" s="2">
        <v>43300</v>
      </c>
      <c r="D1149" s="1" t="s">
        <v>10</v>
      </c>
      <c r="E1149" s="1">
        <v>8</v>
      </c>
      <c r="F1149" s="1">
        <v>80</v>
      </c>
      <c r="G1149" s="1">
        <v>640</v>
      </c>
      <c r="H1149" s="1">
        <v>0.08</v>
      </c>
      <c r="I1149" s="1" t="s">
        <v>15</v>
      </c>
    </row>
    <row r="1150" spans="1:9" x14ac:dyDescent="0.3">
      <c r="A1150" s="1" t="s">
        <v>1179</v>
      </c>
      <c r="B1150" s="1" t="s">
        <v>22</v>
      </c>
      <c r="C1150" s="2">
        <v>43300</v>
      </c>
      <c r="D1150" s="1" t="s">
        <v>14</v>
      </c>
      <c r="E1150" s="1">
        <v>18</v>
      </c>
      <c r="F1150" s="1">
        <v>40</v>
      </c>
      <c r="G1150" s="1">
        <v>720</v>
      </c>
      <c r="H1150" s="1">
        <v>0.03</v>
      </c>
      <c r="I1150" s="1" t="s">
        <v>18</v>
      </c>
    </row>
    <row r="1151" spans="1:9" x14ac:dyDescent="0.3">
      <c r="A1151" s="1" t="s">
        <v>1180</v>
      </c>
      <c r="B1151" s="1" t="s">
        <v>28</v>
      </c>
      <c r="C1151" s="2">
        <v>43300</v>
      </c>
      <c r="D1151" s="1" t="s">
        <v>14</v>
      </c>
      <c r="E1151" s="1">
        <v>20</v>
      </c>
      <c r="F1151" s="1">
        <v>40</v>
      </c>
      <c r="G1151" s="1">
        <v>800</v>
      </c>
      <c r="H1151" s="1">
        <v>0.1</v>
      </c>
      <c r="I1151" s="1" t="s">
        <v>46</v>
      </c>
    </row>
    <row r="1152" spans="1:9" x14ac:dyDescent="0.3">
      <c r="A1152" s="1" t="s">
        <v>1181</v>
      </c>
      <c r="B1152" s="1" t="s">
        <v>22</v>
      </c>
      <c r="C1152" s="2">
        <v>43300</v>
      </c>
      <c r="D1152" s="1" t="s">
        <v>14</v>
      </c>
      <c r="E1152" s="1">
        <v>2</v>
      </c>
      <c r="F1152" s="1">
        <v>40</v>
      </c>
      <c r="G1152" s="1">
        <v>80</v>
      </c>
      <c r="H1152" s="1">
        <v>0.03</v>
      </c>
      <c r="I1152" s="1" t="s">
        <v>23</v>
      </c>
    </row>
    <row r="1153" spans="1:9" x14ac:dyDescent="0.3">
      <c r="A1153" s="1" t="s">
        <v>1182</v>
      </c>
      <c r="B1153" s="1" t="s">
        <v>9</v>
      </c>
      <c r="C1153" s="2">
        <v>43300</v>
      </c>
      <c r="D1153" s="1" t="s">
        <v>17</v>
      </c>
      <c r="E1153" s="1">
        <v>15</v>
      </c>
      <c r="F1153" s="1">
        <v>230</v>
      </c>
      <c r="G1153" s="1">
        <v>3450</v>
      </c>
      <c r="H1153" s="1">
        <v>0.05</v>
      </c>
      <c r="I1153" s="1" t="s">
        <v>26</v>
      </c>
    </row>
    <row r="1154" spans="1:9" x14ac:dyDescent="0.3">
      <c r="A1154" s="1" t="s">
        <v>1183</v>
      </c>
      <c r="B1154" s="1" t="s">
        <v>25</v>
      </c>
      <c r="C1154" s="2">
        <v>43300</v>
      </c>
      <c r="D1154" s="1" t="s">
        <v>32</v>
      </c>
      <c r="E1154" s="1">
        <v>15</v>
      </c>
      <c r="F1154" s="1">
        <v>150</v>
      </c>
      <c r="G1154" s="1">
        <v>2250</v>
      </c>
      <c r="H1154" s="1">
        <v>0.08</v>
      </c>
      <c r="I1154" s="1" t="s">
        <v>15</v>
      </c>
    </row>
    <row r="1155" spans="1:9" x14ac:dyDescent="0.3">
      <c r="A1155" s="1" t="s">
        <v>1184</v>
      </c>
      <c r="B1155" s="1" t="s">
        <v>25</v>
      </c>
      <c r="C1155" s="2">
        <v>43300</v>
      </c>
      <c r="D1155" s="1" t="s">
        <v>32</v>
      </c>
      <c r="E1155" s="1">
        <v>22</v>
      </c>
      <c r="F1155" s="1">
        <v>150</v>
      </c>
      <c r="G1155" s="1">
        <v>3300</v>
      </c>
      <c r="H1155" s="1">
        <v>0.05</v>
      </c>
      <c r="I1155" s="1" t="s">
        <v>18</v>
      </c>
    </row>
    <row r="1156" spans="1:9" x14ac:dyDescent="0.3">
      <c r="A1156" s="1" t="s">
        <v>1185</v>
      </c>
      <c r="B1156" s="1" t="s">
        <v>13</v>
      </c>
      <c r="C1156" s="2">
        <v>43300</v>
      </c>
      <c r="D1156" s="1" t="s">
        <v>17</v>
      </c>
      <c r="E1156" s="1">
        <v>19</v>
      </c>
      <c r="F1156" s="1">
        <v>230</v>
      </c>
      <c r="G1156" s="1">
        <v>4370</v>
      </c>
      <c r="H1156" s="1">
        <v>0.11</v>
      </c>
      <c r="I1156" s="1" t="s">
        <v>46</v>
      </c>
    </row>
    <row r="1157" spans="1:9" x14ac:dyDescent="0.3">
      <c r="A1157" s="1" t="s">
        <v>1186</v>
      </c>
      <c r="B1157" s="1" t="s">
        <v>13</v>
      </c>
      <c r="C1157" s="2">
        <v>43300</v>
      </c>
      <c r="D1157" s="1" t="s">
        <v>10</v>
      </c>
      <c r="E1157" s="1">
        <v>10</v>
      </c>
      <c r="F1157" s="1">
        <v>80</v>
      </c>
      <c r="G1157" s="1">
        <v>800</v>
      </c>
      <c r="H1157" s="1">
        <v>0.11</v>
      </c>
      <c r="I1157" s="1" t="s">
        <v>23</v>
      </c>
    </row>
    <row r="1158" spans="1:9" x14ac:dyDescent="0.3">
      <c r="A1158" s="1" t="s">
        <v>1187</v>
      </c>
      <c r="B1158" s="1" t="s">
        <v>25</v>
      </c>
      <c r="C1158" s="2">
        <v>43300</v>
      </c>
      <c r="D1158" s="1" t="s">
        <v>14</v>
      </c>
      <c r="E1158" s="1">
        <v>18</v>
      </c>
      <c r="F1158" s="1">
        <v>40</v>
      </c>
      <c r="G1158" s="1">
        <v>720</v>
      </c>
      <c r="H1158" s="1">
        <v>0.06</v>
      </c>
      <c r="I1158" s="1" t="s">
        <v>26</v>
      </c>
    </row>
    <row r="1159" spans="1:9" x14ac:dyDescent="0.3">
      <c r="A1159" s="1" t="s">
        <v>1188</v>
      </c>
      <c r="B1159" s="1" t="s">
        <v>25</v>
      </c>
      <c r="C1159" s="2">
        <v>43300</v>
      </c>
      <c r="D1159" s="1" t="s">
        <v>10</v>
      </c>
      <c r="E1159" s="1">
        <v>16</v>
      </c>
      <c r="F1159" s="1">
        <v>80</v>
      </c>
      <c r="G1159" s="1">
        <v>1280</v>
      </c>
      <c r="H1159" s="1">
        <v>0.05</v>
      </c>
      <c r="I1159" s="1" t="s">
        <v>30</v>
      </c>
    </row>
    <row r="1160" spans="1:9" x14ac:dyDescent="0.3">
      <c r="A1160" s="1" t="s">
        <v>1189</v>
      </c>
      <c r="B1160" s="1" t="s">
        <v>28</v>
      </c>
      <c r="C1160" s="2">
        <v>43300</v>
      </c>
      <c r="D1160" s="1" t="s">
        <v>32</v>
      </c>
      <c r="E1160" s="1">
        <v>17</v>
      </c>
      <c r="F1160" s="1">
        <v>150</v>
      </c>
      <c r="G1160" s="1">
        <v>2550</v>
      </c>
      <c r="H1160" s="1">
        <v>0.02</v>
      </c>
      <c r="I1160" s="1" t="s">
        <v>33</v>
      </c>
    </row>
    <row r="1161" spans="1:9" x14ac:dyDescent="0.3">
      <c r="A1161" s="1" t="s">
        <v>1190</v>
      </c>
      <c r="B1161" s="1" t="s">
        <v>9</v>
      </c>
      <c r="C1161" s="2">
        <v>43301</v>
      </c>
      <c r="D1161" s="1" t="s">
        <v>17</v>
      </c>
      <c r="E1161" s="1">
        <v>8</v>
      </c>
      <c r="F1161" s="1">
        <v>230</v>
      </c>
      <c r="G1161" s="1">
        <v>1840</v>
      </c>
      <c r="H1161" s="1">
        <v>0.03</v>
      </c>
      <c r="I1161" s="1" t="s">
        <v>35</v>
      </c>
    </row>
    <row r="1162" spans="1:9" x14ac:dyDescent="0.3">
      <c r="A1162" s="1" t="s">
        <v>1191</v>
      </c>
      <c r="B1162" s="1" t="s">
        <v>25</v>
      </c>
      <c r="C1162" s="2">
        <v>43301</v>
      </c>
      <c r="D1162" s="1" t="s">
        <v>10</v>
      </c>
      <c r="E1162" s="1">
        <v>11</v>
      </c>
      <c r="F1162" s="1">
        <v>80</v>
      </c>
      <c r="G1162" s="1">
        <v>880</v>
      </c>
      <c r="H1162" s="1">
        <v>0.01</v>
      </c>
      <c r="I1162" s="1" t="s">
        <v>37</v>
      </c>
    </row>
    <row r="1163" spans="1:9" x14ac:dyDescent="0.3">
      <c r="A1163" s="1" t="s">
        <v>1192</v>
      </c>
      <c r="B1163" s="1" t="s">
        <v>9</v>
      </c>
      <c r="C1163" s="2">
        <v>43301</v>
      </c>
      <c r="D1163" s="1" t="s">
        <v>14</v>
      </c>
      <c r="E1163" s="1">
        <v>5</v>
      </c>
      <c r="F1163" s="1">
        <v>40</v>
      </c>
      <c r="G1163" s="1">
        <v>200</v>
      </c>
      <c r="H1163" s="1">
        <v>0.06</v>
      </c>
      <c r="I1163" s="1" t="s">
        <v>39</v>
      </c>
    </row>
    <row r="1164" spans="1:9" x14ac:dyDescent="0.3">
      <c r="A1164" s="1" t="s">
        <v>1193</v>
      </c>
      <c r="B1164" s="1" t="s">
        <v>28</v>
      </c>
      <c r="C1164" s="2">
        <v>43301</v>
      </c>
      <c r="D1164" s="1" t="s">
        <v>14</v>
      </c>
      <c r="E1164" s="1">
        <v>11</v>
      </c>
      <c r="F1164" s="1">
        <v>40</v>
      </c>
      <c r="G1164" s="1">
        <v>440</v>
      </c>
      <c r="H1164" s="1">
        <v>0.05</v>
      </c>
      <c r="I1164" s="1" t="s">
        <v>41</v>
      </c>
    </row>
    <row r="1165" spans="1:9" x14ac:dyDescent="0.3">
      <c r="A1165" s="1" t="s">
        <v>1194</v>
      </c>
      <c r="B1165" s="1" t="s">
        <v>25</v>
      </c>
      <c r="C1165" s="2">
        <v>43301</v>
      </c>
      <c r="D1165" s="1" t="s">
        <v>32</v>
      </c>
      <c r="E1165" s="1">
        <v>20</v>
      </c>
      <c r="F1165" s="1">
        <v>150</v>
      </c>
      <c r="G1165" s="1">
        <v>3000</v>
      </c>
      <c r="H1165" s="1">
        <v>0.1</v>
      </c>
      <c r="I1165" s="1" t="s">
        <v>11</v>
      </c>
    </row>
    <row r="1166" spans="1:9" x14ac:dyDescent="0.3">
      <c r="A1166" s="1" t="s">
        <v>1195</v>
      </c>
      <c r="B1166" s="1" t="s">
        <v>22</v>
      </c>
      <c r="C1166" s="2">
        <v>43301</v>
      </c>
      <c r="D1166" s="1" t="s">
        <v>32</v>
      </c>
      <c r="E1166" s="1">
        <v>11</v>
      </c>
      <c r="F1166" s="1">
        <v>150</v>
      </c>
      <c r="G1166" s="1">
        <v>1650</v>
      </c>
      <c r="H1166" s="1">
        <v>0.11</v>
      </c>
      <c r="I1166" s="1" t="s">
        <v>15</v>
      </c>
    </row>
    <row r="1167" spans="1:9" x14ac:dyDescent="0.3">
      <c r="A1167" s="1" t="s">
        <v>1196</v>
      </c>
      <c r="B1167" s="1" t="s">
        <v>25</v>
      </c>
      <c r="C1167" s="2">
        <v>43301</v>
      </c>
      <c r="D1167" s="1" t="s">
        <v>10</v>
      </c>
      <c r="E1167" s="1">
        <v>2</v>
      </c>
      <c r="F1167" s="1">
        <v>80</v>
      </c>
      <c r="G1167" s="1">
        <v>160</v>
      </c>
      <c r="H1167" s="1">
        <v>0.08</v>
      </c>
      <c r="I1167" s="1" t="s">
        <v>18</v>
      </c>
    </row>
    <row r="1168" spans="1:9" x14ac:dyDescent="0.3">
      <c r="A1168" s="1" t="s">
        <v>1197</v>
      </c>
      <c r="B1168" s="1" t="s">
        <v>13</v>
      </c>
      <c r="C1168" s="2">
        <v>43301</v>
      </c>
      <c r="D1168" s="1" t="s">
        <v>32</v>
      </c>
      <c r="E1168" s="1">
        <v>16</v>
      </c>
      <c r="F1168" s="1">
        <v>150</v>
      </c>
      <c r="G1168" s="1">
        <v>2400</v>
      </c>
      <c r="H1168" s="1">
        <v>0.08</v>
      </c>
      <c r="I1168" s="1" t="s">
        <v>46</v>
      </c>
    </row>
    <row r="1169" spans="1:9" x14ac:dyDescent="0.3">
      <c r="A1169" s="1" t="s">
        <v>1198</v>
      </c>
      <c r="B1169" s="1" t="s">
        <v>9</v>
      </c>
      <c r="C1169" s="2">
        <v>43301</v>
      </c>
      <c r="D1169" s="1" t="s">
        <v>29</v>
      </c>
      <c r="E1169" s="1">
        <v>20</v>
      </c>
      <c r="F1169" s="1">
        <v>16</v>
      </c>
      <c r="G1169" s="1">
        <v>320</v>
      </c>
      <c r="H1169" s="1">
        <v>0.11</v>
      </c>
      <c r="I1169" s="1" t="s">
        <v>23</v>
      </c>
    </row>
    <row r="1170" spans="1:9" x14ac:dyDescent="0.3">
      <c r="A1170" s="1" t="s">
        <v>1199</v>
      </c>
      <c r="B1170" s="1" t="s">
        <v>22</v>
      </c>
      <c r="C1170" s="2">
        <v>43301</v>
      </c>
      <c r="D1170" s="1" t="s">
        <v>17</v>
      </c>
      <c r="E1170" s="1">
        <v>2</v>
      </c>
      <c r="F1170" s="1">
        <v>230</v>
      </c>
      <c r="G1170" s="1">
        <v>460</v>
      </c>
      <c r="H1170" s="1">
        <v>0.09</v>
      </c>
      <c r="I1170" s="1" t="s">
        <v>26</v>
      </c>
    </row>
    <row r="1171" spans="1:9" x14ac:dyDescent="0.3">
      <c r="A1171" s="1" t="s">
        <v>1200</v>
      </c>
      <c r="B1171" s="1" t="s">
        <v>9</v>
      </c>
      <c r="C1171" s="2">
        <v>43301</v>
      </c>
      <c r="D1171" s="1" t="s">
        <v>32</v>
      </c>
      <c r="E1171" s="1">
        <v>20</v>
      </c>
      <c r="F1171" s="1">
        <v>150</v>
      </c>
      <c r="G1171" s="1">
        <v>3000</v>
      </c>
      <c r="H1171" s="1">
        <v>0.04</v>
      </c>
      <c r="I1171" s="1" t="s">
        <v>15</v>
      </c>
    </row>
    <row r="1172" spans="1:9" x14ac:dyDescent="0.3">
      <c r="A1172" s="1" t="s">
        <v>1201</v>
      </c>
      <c r="B1172" s="1" t="s">
        <v>9</v>
      </c>
      <c r="C1172" s="2">
        <v>43301</v>
      </c>
      <c r="D1172" s="1" t="s">
        <v>32</v>
      </c>
      <c r="E1172" s="1">
        <v>22</v>
      </c>
      <c r="F1172" s="1">
        <v>150</v>
      </c>
      <c r="G1172" s="1">
        <v>3300</v>
      </c>
      <c r="H1172" s="1">
        <v>7.0000000000000007E-2</v>
      </c>
      <c r="I1172" s="1" t="s">
        <v>18</v>
      </c>
    </row>
    <row r="1173" spans="1:9" x14ac:dyDescent="0.3">
      <c r="A1173" s="1" t="s">
        <v>1202</v>
      </c>
      <c r="B1173" s="1" t="s">
        <v>22</v>
      </c>
      <c r="C1173" s="2">
        <v>43301</v>
      </c>
      <c r="D1173" s="1" t="s">
        <v>32</v>
      </c>
      <c r="E1173" s="1">
        <v>22</v>
      </c>
      <c r="F1173" s="1">
        <v>150</v>
      </c>
      <c r="G1173" s="1">
        <v>3300</v>
      </c>
      <c r="H1173" s="1">
        <v>0.04</v>
      </c>
      <c r="I1173" s="1" t="s">
        <v>46</v>
      </c>
    </row>
    <row r="1174" spans="1:9" x14ac:dyDescent="0.3">
      <c r="A1174" s="1" t="s">
        <v>1203</v>
      </c>
      <c r="B1174" s="1" t="s">
        <v>9</v>
      </c>
      <c r="C1174" s="2">
        <v>43301</v>
      </c>
      <c r="D1174" s="1" t="s">
        <v>14</v>
      </c>
      <c r="E1174" s="1">
        <v>23</v>
      </c>
      <c r="F1174" s="1">
        <v>40</v>
      </c>
      <c r="G1174" s="1">
        <v>920</v>
      </c>
      <c r="H1174" s="1">
        <v>7.0000000000000007E-2</v>
      </c>
      <c r="I1174" s="1" t="s">
        <v>23</v>
      </c>
    </row>
    <row r="1175" spans="1:9" x14ac:dyDescent="0.3">
      <c r="A1175" s="1" t="s">
        <v>1204</v>
      </c>
      <c r="B1175" s="1" t="s">
        <v>22</v>
      </c>
      <c r="C1175" s="2">
        <v>43302</v>
      </c>
      <c r="D1175" s="1" t="s">
        <v>29</v>
      </c>
      <c r="E1175" s="1">
        <v>11</v>
      </c>
      <c r="F1175" s="1">
        <v>16</v>
      </c>
      <c r="G1175" s="1">
        <v>176</v>
      </c>
      <c r="H1175" s="1">
        <v>0.04</v>
      </c>
      <c r="I1175" s="1" t="s">
        <v>26</v>
      </c>
    </row>
    <row r="1176" spans="1:9" x14ac:dyDescent="0.3">
      <c r="A1176" s="1" t="s">
        <v>1205</v>
      </c>
      <c r="B1176" s="1" t="s">
        <v>13</v>
      </c>
      <c r="C1176" s="2">
        <v>43302</v>
      </c>
      <c r="D1176" s="1" t="s">
        <v>17</v>
      </c>
      <c r="E1176" s="1">
        <v>11</v>
      </c>
      <c r="F1176" s="1">
        <v>230</v>
      </c>
      <c r="G1176" s="1">
        <v>2530</v>
      </c>
      <c r="H1176" s="1">
        <v>0.1</v>
      </c>
      <c r="I1176" s="1" t="s">
        <v>30</v>
      </c>
    </row>
    <row r="1177" spans="1:9" x14ac:dyDescent="0.3">
      <c r="A1177" s="1" t="s">
        <v>1206</v>
      </c>
      <c r="B1177" s="1" t="s">
        <v>9</v>
      </c>
      <c r="C1177" s="2">
        <v>43302</v>
      </c>
      <c r="D1177" s="1" t="s">
        <v>17</v>
      </c>
      <c r="E1177" s="1">
        <v>7</v>
      </c>
      <c r="F1177" s="1">
        <v>230</v>
      </c>
      <c r="G1177" s="1">
        <v>1610</v>
      </c>
      <c r="H1177" s="1">
        <v>0.08</v>
      </c>
      <c r="I1177" s="1" t="s">
        <v>33</v>
      </c>
    </row>
    <row r="1178" spans="1:9" x14ac:dyDescent="0.3">
      <c r="A1178" s="1" t="s">
        <v>1207</v>
      </c>
      <c r="B1178" s="1" t="s">
        <v>13</v>
      </c>
      <c r="C1178" s="2">
        <v>43302</v>
      </c>
      <c r="D1178" s="1" t="s">
        <v>32</v>
      </c>
      <c r="E1178" s="1">
        <v>13</v>
      </c>
      <c r="F1178" s="1">
        <v>150</v>
      </c>
      <c r="G1178" s="1">
        <v>1950</v>
      </c>
      <c r="H1178" s="1">
        <v>0.08</v>
      </c>
      <c r="I1178" s="1" t="s">
        <v>35</v>
      </c>
    </row>
    <row r="1179" spans="1:9" x14ac:dyDescent="0.3">
      <c r="A1179" s="1" t="s">
        <v>1208</v>
      </c>
      <c r="B1179" s="1" t="s">
        <v>25</v>
      </c>
      <c r="C1179" s="2">
        <v>43302</v>
      </c>
      <c r="D1179" s="1" t="s">
        <v>17</v>
      </c>
      <c r="E1179" s="1">
        <v>16</v>
      </c>
      <c r="F1179" s="1">
        <v>230</v>
      </c>
      <c r="G1179" s="1">
        <v>3680</v>
      </c>
      <c r="H1179" s="1">
        <v>0.11</v>
      </c>
      <c r="I1179" s="1" t="s">
        <v>37</v>
      </c>
    </row>
    <row r="1180" spans="1:9" x14ac:dyDescent="0.3">
      <c r="A1180" s="1" t="s">
        <v>1209</v>
      </c>
      <c r="B1180" s="1" t="s">
        <v>28</v>
      </c>
      <c r="C1180" s="2">
        <v>43302</v>
      </c>
      <c r="D1180" s="1" t="s">
        <v>17</v>
      </c>
      <c r="E1180" s="1">
        <v>20</v>
      </c>
      <c r="F1180" s="1">
        <v>230</v>
      </c>
      <c r="G1180" s="1">
        <v>4600</v>
      </c>
      <c r="H1180" s="1">
        <v>0.09</v>
      </c>
      <c r="I1180" s="1" t="s">
        <v>39</v>
      </c>
    </row>
    <row r="1181" spans="1:9" x14ac:dyDescent="0.3">
      <c r="A1181" s="1" t="s">
        <v>1210</v>
      </c>
      <c r="B1181" s="1" t="s">
        <v>22</v>
      </c>
      <c r="C1181" s="2">
        <v>43302</v>
      </c>
      <c r="D1181" s="1" t="s">
        <v>14</v>
      </c>
      <c r="E1181" s="1">
        <v>20</v>
      </c>
      <c r="F1181" s="1">
        <v>40</v>
      </c>
      <c r="G1181" s="1">
        <v>800</v>
      </c>
      <c r="H1181" s="1">
        <v>0.01</v>
      </c>
      <c r="I1181" s="1" t="s">
        <v>41</v>
      </c>
    </row>
    <row r="1182" spans="1:9" x14ac:dyDescent="0.3">
      <c r="A1182" s="1" t="s">
        <v>1211</v>
      </c>
      <c r="B1182" s="1" t="s">
        <v>9</v>
      </c>
      <c r="C1182" s="2">
        <v>43302</v>
      </c>
      <c r="D1182" s="1" t="s">
        <v>10</v>
      </c>
      <c r="E1182" s="1">
        <v>20</v>
      </c>
      <c r="F1182" s="1">
        <v>80</v>
      </c>
      <c r="G1182" s="1">
        <v>1600</v>
      </c>
      <c r="H1182" s="1">
        <v>0.01</v>
      </c>
      <c r="I1182" s="1" t="s">
        <v>11</v>
      </c>
    </row>
    <row r="1183" spans="1:9" x14ac:dyDescent="0.3">
      <c r="A1183" s="1" t="s">
        <v>1212</v>
      </c>
      <c r="B1183" s="1" t="s">
        <v>9</v>
      </c>
      <c r="C1183" s="2">
        <v>43302</v>
      </c>
      <c r="D1183" s="1" t="s">
        <v>32</v>
      </c>
      <c r="E1183" s="1">
        <v>5</v>
      </c>
      <c r="F1183" s="1">
        <v>150</v>
      </c>
      <c r="G1183" s="1">
        <v>750</v>
      </c>
      <c r="H1183" s="1">
        <v>0.11</v>
      </c>
      <c r="I1183" s="1" t="s">
        <v>15</v>
      </c>
    </row>
    <row r="1184" spans="1:9" x14ac:dyDescent="0.3">
      <c r="A1184" s="1" t="s">
        <v>1213</v>
      </c>
      <c r="B1184" s="1" t="s">
        <v>22</v>
      </c>
      <c r="C1184" s="2">
        <v>43303</v>
      </c>
      <c r="D1184" s="1" t="s">
        <v>14</v>
      </c>
      <c r="E1184" s="1">
        <v>4</v>
      </c>
      <c r="F1184" s="1">
        <v>40</v>
      </c>
      <c r="G1184" s="1">
        <v>160</v>
      </c>
      <c r="H1184" s="1">
        <v>0.11</v>
      </c>
      <c r="I1184" s="1" t="s">
        <v>18</v>
      </c>
    </row>
    <row r="1185" spans="1:9" x14ac:dyDescent="0.3">
      <c r="A1185" s="1" t="s">
        <v>1214</v>
      </c>
      <c r="B1185" s="1" t="s">
        <v>9</v>
      </c>
      <c r="C1185" s="2">
        <v>43303</v>
      </c>
      <c r="D1185" s="1" t="s">
        <v>29</v>
      </c>
      <c r="E1185" s="1">
        <v>7</v>
      </c>
      <c r="F1185" s="1">
        <v>16</v>
      </c>
      <c r="G1185" s="1">
        <v>112</v>
      </c>
      <c r="H1185" s="1">
        <v>0.12</v>
      </c>
      <c r="I1185" s="1" t="s">
        <v>46</v>
      </c>
    </row>
    <row r="1186" spans="1:9" x14ac:dyDescent="0.3">
      <c r="A1186" s="1" t="s">
        <v>1215</v>
      </c>
      <c r="B1186" s="1" t="s">
        <v>13</v>
      </c>
      <c r="C1186" s="2">
        <v>43303</v>
      </c>
      <c r="D1186" s="1" t="s">
        <v>29</v>
      </c>
      <c r="E1186" s="1">
        <v>22</v>
      </c>
      <c r="F1186" s="1">
        <v>16</v>
      </c>
      <c r="G1186" s="1">
        <v>352</v>
      </c>
      <c r="H1186" s="1">
        <v>0.01</v>
      </c>
      <c r="I1186" s="1" t="s">
        <v>23</v>
      </c>
    </row>
    <row r="1187" spans="1:9" x14ac:dyDescent="0.3">
      <c r="A1187" s="1" t="s">
        <v>1216</v>
      </c>
      <c r="B1187" s="1" t="s">
        <v>25</v>
      </c>
      <c r="C1187" s="2">
        <v>43303</v>
      </c>
      <c r="D1187" s="1" t="s">
        <v>14</v>
      </c>
      <c r="E1187" s="1">
        <v>15</v>
      </c>
      <c r="F1187" s="1">
        <v>40</v>
      </c>
      <c r="G1187" s="1">
        <v>600</v>
      </c>
      <c r="H1187" s="1">
        <v>0.03</v>
      </c>
      <c r="I1187" s="1" t="s">
        <v>26</v>
      </c>
    </row>
    <row r="1188" spans="1:9" x14ac:dyDescent="0.3">
      <c r="A1188" s="1" t="s">
        <v>1217</v>
      </c>
      <c r="B1188" s="1" t="s">
        <v>13</v>
      </c>
      <c r="C1188" s="2">
        <v>43303</v>
      </c>
      <c r="D1188" s="1" t="s">
        <v>10</v>
      </c>
      <c r="E1188" s="1">
        <v>14</v>
      </c>
      <c r="F1188" s="1">
        <v>80</v>
      </c>
      <c r="G1188" s="1">
        <v>1120</v>
      </c>
      <c r="H1188" s="1">
        <v>0.11</v>
      </c>
      <c r="I1188" s="1" t="s">
        <v>15</v>
      </c>
    </row>
    <row r="1189" spans="1:9" x14ac:dyDescent="0.3">
      <c r="A1189" s="1" t="s">
        <v>1218</v>
      </c>
      <c r="B1189" s="1" t="s">
        <v>13</v>
      </c>
      <c r="C1189" s="2">
        <v>43303</v>
      </c>
      <c r="D1189" s="1" t="s">
        <v>29</v>
      </c>
      <c r="E1189" s="1">
        <v>15</v>
      </c>
      <c r="F1189" s="1">
        <v>16</v>
      </c>
      <c r="G1189" s="1">
        <v>240</v>
      </c>
      <c r="H1189" s="1">
        <v>0.02</v>
      </c>
      <c r="I1189" s="1" t="s">
        <v>18</v>
      </c>
    </row>
    <row r="1190" spans="1:9" x14ac:dyDescent="0.3">
      <c r="A1190" s="1" t="s">
        <v>1219</v>
      </c>
      <c r="B1190" s="1" t="s">
        <v>25</v>
      </c>
      <c r="C1190" s="2">
        <v>43304</v>
      </c>
      <c r="D1190" s="1" t="s">
        <v>10</v>
      </c>
      <c r="E1190" s="1">
        <v>19</v>
      </c>
      <c r="F1190" s="1">
        <v>80</v>
      </c>
      <c r="G1190" s="1">
        <v>1520</v>
      </c>
      <c r="H1190" s="1">
        <v>0.02</v>
      </c>
      <c r="I1190" s="1" t="s">
        <v>46</v>
      </c>
    </row>
    <row r="1191" spans="1:9" x14ac:dyDescent="0.3">
      <c r="A1191" s="1" t="s">
        <v>1220</v>
      </c>
      <c r="B1191" s="1" t="s">
        <v>28</v>
      </c>
      <c r="C1191" s="2">
        <v>43304</v>
      </c>
      <c r="D1191" s="1" t="s">
        <v>14</v>
      </c>
      <c r="E1191" s="1">
        <v>20</v>
      </c>
      <c r="F1191" s="1">
        <v>40</v>
      </c>
      <c r="G1191" s="1">
        <v>800</v>
      </c>
      <c r="H1191" s="1">
        <v>0.05</v>
      </c>
      <c r="I1191" s="1" t="s">
        <v>23</v>
      </c>
    </row>
    <row r="1192" spans="1:9" x14ac:dyDescent="0.3">
      <c r="A1192" s="1" t="s">
        <v>1221</v>
      </c>
      <c r="B1192" s="1" t="s">
        <v>25</v>
      </c>
      <c r="C1192" s="2">
        <v>43304</v>
      </c>
      <c r="D1192" s="1" t="s">
        <v>14</v>
      </c>
      <c r="E1192" s="1">
        <v>11</v>
      </c>
      <c r="F1192" s="1">
        <v>40</v>
      </c>
      <c r="G1192" s="1">
        <v>440</v>
      </c>
      <c r="H1192" s="1">
        <v>0.06</v>
      </c>
      <c r="I1192" s="1" t="s">
        <v>26</v>
      </c>
    </row>
    <row r="1193" spans="1:9" x14ac:dyDescent="0.3">
      <c r="A1193" s="1" t="s">
        <v>1222</v>
      </c>
      <c r="B1193" s="1" t="s">
        <v>22</v>
      </c>
      <c r="C1193" s="2">
        <v>43304</v>
      </c>
      <c r="D1193" s="1" t="s">
        <v>32</v>
      </c>
      <c r="E1193" s="1">
        <v>11</v>
      </c>
      <c r="F1193" s="1">
        <v>150</v>
      </c>
      <c r="G1193" s="1">
        <v>1650</v>
      </c>
      <c r="H1193" s="1">
        <v>0.05</v>
      </c>
      <c r="I1193" s="1" t="s">
        <v>30</v>
      </c>
    </row>
    <row r="1194" spans="1:9" x14ac:dyDescent="0.3">
      <c r="A1194" s="1" t="s">
        <v>1223</v>
      </c>
      <c r="B1194" s="1" t="s">
        <v>25</v>
      </c>
      <c r="C1194" s="2">
        <v>43304</v>
      </c>
      <c r="D1194" s="1" t="s">
        <v>10</v>
      </c>
      <c r="E1194" s="1">
        <v>23</v>
      </c>
      <c r="F1194" s="1">
        <v>80</v>
      </c>
      <c r="G1194" s="1">
        <v>1840</v>
      </c>
      <c r="H1194" s="1">
        <v>0.11</v>
      </c>
      <c r="I1194" s="1" t="s">
        <v>33</v>
      </c>
    </row>
    <row r="1195" spans="1:9" x14ac:dyDescent="0.3">
      <c r="A1195" s="1" t="s">
        <v>1224</v>
      </c>
      <c r="B1195" s="1" t="s">
        <v>9</v>
      </c>
      <c r="C1195" s="2">
        <v>43304</v>
      </c>
      <c r="D1195" s="1" t="s">
        <v>10</v>
      </c>
      <c r="E1195" s="1">
        <v>8</v>
      </c>
      <c r="F1195" s="1">
        <v>80</v>
      </c>
      <c r="G1195" s="1">
        <v>640</v>
      </c>
      <c r="H1195" s="1">
        <v>0.09</v>
      </c>
      <c r="I1195" s="1" t="s">
        <v>35</v>
      </c>
    </row>
    <row r="1196" spans="1:9" x14ac:dyDescent="0.3">
      <c r="A1196" s="1" t="s">
        <v>1225</v>
      </c>
      <c r="B1196" s="1" t="s">
        <v>25</v>
      </c>
      <c r="C1196" s="2">
        <v>43304</v>
      </c>
      <c r="D1196" s="1" t="s">
        <v>14</v>
      </c>
      <c r="E1196" s="1">
        <v>9</v>
      </c>
      <c r="F1196" s="1">
        <v>40</v>
      </c>
      <c r="G1196" s="1">
        <v>360</v>
      </c>
      <c r="H1196" s="1">
        <v>0.06</v>
      </c>
      <c r="I1196" s="1" t="s">
        <v>37</v>
      </c>
    </row>
    <row r="1197" spans="1:9" x14ac:dyDescent="0.3">
      <c r="A1197" s="1" t="s">
        <v>1226</v>
      </c>
      <c r="B1197" s="1" t="s">
        <v>28</v>
      </c>
      <c r="C1197" s="2">
        <v>43304</v>
      </c>
      <c r="D1197" s="1" t="s">
        <v>17</v>
      </c>
      <c r="E1197" s="1">
        <v>13</v>
      </c>
      <c r="F1197" s="1">
        <v>230</v>
      </c>
      <c r="G1197" s="1">
        <v>2990</v>
      </c>
      <c r="H1197" s="1">
        <v>0.06</v>
      </c>
      <c r="I1197" s="1" t="s">
        <v>39</v>
      </c>
    </row>
    <row r="1198" spans="1:9" x14ac:dyDescent="0.3">
      <c r="A1198" s="1" t="s">
        <v>1227</v>
      </c>
      <c r="B1198" s="1" t="s">
        <v>25</v>
      </c>
      <c r="C1198" s="2">
        <v>43304</v>
      </c>
      <c r="D1198" s="1" t="s">
        <v>14</v>
      </c>
      <c r="E1198" s="1">
        <v>22</v>
      </c>
      <c r="F1198" s="1">
        <v>40</v>
      </c>
      <c r="G1198" s="1">
        <v>880</v>
      </c>
      <c r="H1198" s="1">
        <v>0.01</v>
      </c>
      <c r="I1198" s="1" t="s">
        <v>41</v>
      </c>
    </row>
    <row r="1199" spans="1:9" x14ac:dyDescent="0.3">
      <c r="A1199" s="1" t="s">
        <v>1228</v>
      </c>
      <c r="B1199" s="1" t="s">
        <v>28</v>
      </c>
      <c r="C1199" s="2">
        <v>43304</v>
      </c>
      <c r="D1199" s="1" t="s">
        <v>29</v>
      </c>
      <c r="E1199" s="1">
        <v>14</v>
      </c>
      <c r="F1199" s="1">
        <v>16</v>
      </c>
      <c r="G1199" s="1">
        <v>224</v>
      </c>
      <c r="H1199" s="1">
        <v>0.06</v>
      </c>
      <c r="I1199" s="1" t="s">
        <v>11</v>
      </c>
    </row>
    <row r="1200" spans="1:9" x14ac:dyDescent="0.3">
      <c r="A1200" s="1" t="s">
        <v>1229</v>
      </c>
      <c r="B1200" s="1" t="s">
        <v>13</v>
      </c>
      <c r="C1200" s="2">
        <v>43305</v>
      </c>
      <c r="D1200" s="1" t="s">
        <v>10</v>
      </c>
      <c r="E1200" s="1">
        <v>5</v>
      </c>
      <c r="F1200" s="1">
        <v>80</v>
      </c>
      <c r="G1200" s="1">
        <v>400</v>
      </c>
      <c r="H1200" s="1">
        <v>0.04</v>
      </c>
      <c r="I1200" s="1" t="s">
        <v>15</v>
      </c>
    </row>
    <row r="1201" spans="1:9" x14ac:dyDescent="0.3">
      <c r="A1201" s="1" t="s">
        <v>1230</v>
      </c>
      <c r="B1201" s="1" t="s">
        <v>28</v>
      </c>
      <c r="C1201" s="2">
        <v>43305</v>
      </c>
      <c r="D1201" s="1" t="s">
        <v>32</v>
      </c>
      <c r="E1201" s="1">
        <v>18</v>
      </c>
      <c r="F1201" s="1">
        <v>150</v>
      </c>
      <c r="G1201" s="1">
        <v>2700</v>
      </c>
      <c r="H1201" s="1">
        <v>0.12</v>
      </c>
      <c r="I1201" s="1" t="s">
        <v>18</v>
      </c>
    </row>
    <row r="1202" spans="1:9" x14ac:dyDescent="0.3">
      <c r="A1202" s="1" t="s">
        <v>1231</v>
      </c>
      <c r="B1202" s="1" t="s">
        <v>22</v>
      </c>
      <c r="C1202" s="2">
        <v>43305</v>
      </c>
      <c r="D1202" s="1" t="s">
        <v>17</v>
      </c>
      <c r="E1202" s="1">
        <v>14</v>
      </c>
      <c r="F1202" s="1">
        <v>230</v>
      </c>
      <c r="G1202" s="1">
        <v>3220</v>
      </c>
      <c r="H1202" s="1">
        <v>0.12</v>
      </c>
      <c r="I1202" s="1" t="s">
        <v>46</v>
      </c>
    </row>
    <row r="1203" spans="1:9" x14ac:dyDescent="0.3">
      <c r="A1203" s="1" t="s">
        <v>1232</v>
      </c>
      <c r="B1203" s="1" t="s">
        <v>28</v>
      </c>
      <c r="C1203" s="2">
        <v>43305</v>
      </c>
      <c r="D1203" s="1" t="s">
        <v>17</v>
      </c>
      <c r="E1203" s="1">
        <v>20</v>
      </c>
      <c r="F1203" s="1">
        <v>230</v>
      </c>
      <c r="G1203" s="1">
        <v>4600</v>
      </c>
      <c r="H1203" s="1">
        <v>0.11</v>
      </c>
      <c r="I1203" s="1" t="s">
        <v>23</v>
      </c>
    </row>
    <row r="1204" spans="1:9" x14ac:dyDescent="0.3">
      <c r="A1204" s="1" t="s">
        <v>1233</v>
      </c>
      <c r="B1204" s="1" t="s">
        <v>28</v>
      </c>
      <c r="C1204" s="2">
        <v>43305</v>
      </c>
      <c r="D1204" s="1" t="s">
        <v>29</v>
      </c>
      <c r="E1204" s="1">
        <v>3</v>
      </c>
      <c r="F1204" s="1">
        <v>16</v>
      </c>
      <c r="G1204" s="1">
        <v>48</v>
      </c>
      <c r="H1204" s="1">
        <v>0.03</v>
      </c>
      <c r="I1204" s="1" t="s">
        <v>26</v>
      </c>
    </row>
    <row r="1205" spans="1:9" x14ac:dyDescent="0.3">
      <c r="A1205" s="1" t="s">
        <v>1234</v>
      </c>
      <c r="B1205" s="1" t="s">
        <v>22</v>
      </c>
      <c r="C1205" s="2">
        <v>43305</v>
      </c>
      <c r="D1205" s="1" t="s">
        <v>17</v>
      </c>
      <c r="E1205" s="1">
        <v>20</v>
      </c>
      <c r="F1205" s="1">
        <v>230</v>
      </c>
      <c r="G1205" s="1">
        <v>4600</v>
      </c>
      <c r="H1205" s="1">
        <v>0.06</v>
      </c>
      <c r="I1205" s="1" t="s">
        <v>15</v>
      </c>
    </row>
    <row r="1206" spans="1:9" x14ac:dyDescent="0.3">
      <c r="A1206" s="1" t="s">
        <v>1235</v>
      </c>
      <c r="B1206" s="1" t="s">
        <v>28</v>
      </c>
      <c r="C1206" s="2">
        <v>43305</v>
      </c>
      <c r="D1206" s="1" t="s">
        <v>10</v>
      </c>
      <c r="E1206" s="1">
        <v>9</v>
      </c>
      <c r="F1206" s="1">
        <v>80</v>
      </c>
      <c r="G1206" s="1">
        <v>720</v>
      </c>
      <c r="H1206" s="1">
        <v>0.02</v>
      </c>
      <c r="I1206" s="1" t="s">
        <v>18</v>
      </c>
    </row>
    <row r="1207" spans="1:9" x14ac:dyDescent="0.3">
      <c r="A1207" s="1" t="s">
        <v>1236</v>
      </c>
      <c r="B1207" s="1" t="s">
        <v>25</v>
      </c>
      <c r="C1207" s="2">
        <v>43305</v>
      </c>
      <c r="D1207" s="1" t="s">
        <v>29</v>
      </c>
      <c r="E1207" s="1">
        <v>22</v>
      </c>
      <c r="F1207" s="1">
        <v>16</v>
      </c>
      <c r="G1207" s="1">
        <v>352</v>
      </c>
      <c r="H1207" s="1">
        <v>0.03</v>
      </c>
      <c r="I1207" s="1" t="s">
        <v>46</v>
      </c>
    </row>
    <row r="1208" spans="1:9" x14ac:dyDescent="0.3">
      <c r="A1208" s="1" t="s">
        <v>1237</v>
      </c>
      <c r="B1208" s="1" t="s">
        <v>13</v>
      </c>
      <c r="C1208" s="2">
        <v>43305</v>
      </c>
      <c r="D1208" s="1" t="s">
        <v>10</v>
      </c>
      <c r="E1208" s="1">
        <v>15</v>
      </c>
      <c r="F1208" s="1">
        <v>80</v>
      </c>
      <c r="G1208" s="1">
        <v>1200</v>
      </c>
      <c r="H1208" s="1">
        <v>0.12</v>
      </c>
      <c r="I1208" s="1" t="s">
        <v>23</v>
      </c>
    </row>
    <row r="1209" spans="1:9" x14ac:dyDescent="0.3">
      <c r="A1209" s="1" t="s">
        <v>1238</v>
      </c>
      <c r="B1209" s="1" t="s">
        <v>9</v>
      </c>
      <c r="C1209" s="2">
        <v>43305</v>
      </c>
      <c r="D1209" s="1" t="s">
        <v>32</v>
      </c>
      <c r="E1209" s="1">
        <v>11</v>
      </c>
      <c r="F1209" s="1">
        <v>150</v>
      </c>
      <c r="G1209" s="1">
        <v>1650</v>
      </c>
      <c r="H1209" s="1">
        <v>0.05</v>
      </c>
      <c r="I1209" s="1" t="s">
        <v>26</v>
      </c>
    </row>
    <row r="1210" spans="1:9" x14ac:dyDescent="0.3">
      <c r="A1210" s="1" t="s">
        <v>1239</v>
      </c>
      <c r="B1210" s="1" t="s">
        <v>25</v>
      </c>
      <c r="C1210" s="2">
        <v>43305</v>
      </c>
      <c r="D1210" s="1" t="s">
        <v>17</v>
      </c>
      <c r="E1210" s="1">
        <v>11</v>
      </c>
      <c r="F1210" s="1">
        <v>230</v>
      </c>
      <c r="G1210" s="1">
        <v>2530</v>
      </c>
      <c r="H1210" s="1">
        <v>0.12</v>
      </c>
      <c r="I1210" s="1" t="s">
        <v>30</v>
      </c>
    </row>
    <row r="1211" spans="1:9" x14ac:dyDescent="0.3">
      <c r="A1211" s="1" t="s">
        <v>1240</v>
      </c>
      <c r="B1211" s="1" t="s">
        <v>9</v>
      </c>
      <c r="C1211" s="2">
        <v>43305</v>
      </c>
      <c r="D1211" s="1" t="s">
        <v>32</v>
      </c>
      <c r="E1211" s="1">
        <v>20</v>
      </c>
      <c r="F1211" s="1">
        <v>150</v>
      </c>
      <c r="G1211" s="1">
        <v>3000</v>
      </c>
      <c r="H1211" s="1">
        <v>0.01</v>
      </c>
      <c r="I1211" s="1" t="s">
        <v>33</v>
      </c>
    </row>
    <row r="1212" spans="1:9" x14ac:dyDescent="0.3">
      <c r="A1212" s="1" t="s">
        <v>1241</v>
      </c>
      <c r="B1212" s="1" t="s">
        <v>22</v>
      </c>
      <c r="C1212" s="2">
        <v>43305</v>
      </c>
      <c r="D1212" s="1" t="s">
        <v>14</v>
      </c>
      <c r="E1212" s="1">
        <v>11</v>
      </c>
      <c r="F1212" s="1">
        <v>40</v>
      </c>
      <c r="G1212" s="1">
        <v>440</v>
      </c>
      <c r="H1212" s="1">
        <v>0.12</v>
      </c>
      <c r="I1212" s="1" t="s">
        <v>35</v>
      </c>
    </row>
    <row r="1213" spans="1:9" x14ac:dyDescent="0.3">
      <c r="A1213" s="1" t="s">
        <v>1242</v>
      </c>
      <c r="B1213" s="1" t="s">
        <v>22</v>
      </c>
      <c r="C1213" s="2">
        <v>43306</v>
      </c>
      <c r="D1213" s="1" t="s">
        <v>17</v>
      </c>
      <c r="E1213" s="1">
        <v>12</v>
      </c>
      <c r="F1213" s="1">
        <v>230</v>
      </c>
      <c r="G1213" s="1">
        <v>2760</v>
      </c>
      <c r="H1213" s="1">
        <v>0.06</v>
      </c>
      <c r="I1213" s="1" t="s">
        <v>37</v>
      </c>
    </row>
    <row r="1214" spans="1:9" x14ac:dyDescent="0.3">
      <c r="A1214" s="1" t="s">
        <v>1243</v>
      </c>
      <c r="B1214" s="1" t="s">
        <v>9</v>
      </c>
      <c r="C1214" s="2">
        <v>43306</v>
      </c>
      <c r="D1214" s="1" t="s">
        <v>14</v>
      </c>
      <c r="E1214" s="1">
        <v>15</v>
      </c>
      <c r="F1214" s="1">
        <v>40</v>
      </c>
      <c r="G1214" s="1">
        <v>600</v>
      </c>
      <c r="H1214" s="1">
        <v>0.06</v>
      </c>
      <c r="I1214" s="1" t="s">
        <v>39</v>
      </c>
    </row>
    <row r="1215" spans="1:9" x14ac:dyDescent="0.3">
      <c r="A1215" s="1" t="s">
        <v>1244</v>
      </c>
      <c r="B1215" s="1" t="s">
        <v>25</v>
      </c>
      <c r="C1215" s="2">
        <v>43306</v>
      </c>
      <c r="D1215" s="1" t="s">
        <v>14</v>
      </c>
      <c r="E1215" s="1">
        <v>13</v>
      </c>
      <c r="F1215" s="1">
        <v>40</v>
      </c>
      <c r="G1215" s="1">
        <v>520</v>
      </c>
      <c r="H1215" s="1">
        <v>0.09</v>
      </c>
      <c r="I1215" s="1" t="s">
        <v>41</v>
      </c>
    </row>
    <row r="1216" spans="1:9" x14ac:dyDescent="0.3">
      <c r="A1216" s="1" t="s">
        <v>1245</v>
      </c>
      <c r="B1216" s="1" t="s">
        <v>28</v>
      </c>
      <c r="C1216" s="2">
        <v>43306</v>
      </c>
      <c r="D1216" s="1" t="s">
        <v>14</v>
      </c>
      <c r="E1216" s="1">
        <v>4</v>
      </c>
      <c r="F1216" s="1">
        <v>40</v>
      </c>
      <c r="G1216" s="1">
        <v>160</v>
      </c>
      <c r="H1216" s="1">
        <v>0.09</v>
      </c>
      <c r="I1216" s="1" t="s">
        <v>11</v>
      </c>
    </row>
    <row r="1217" spans="1:9" x14ac:dyDescent="0.3">
      <c r="A1217" s="1" t="s">
        <v>1246</v>
      </c>
      <c r="B1217" s="1" t="s">
        <v>25</v>
      </c>
      <c r="C1217" s="2">
        <v>43306</v>
      </c>
      <c r="D1217" s="1" t="s">
        <v>17</v>
      </c>
      <c r="E1217" s="1">
        <v>18</v>
      </c>
      <c r="F1217" s="1">
        <v>230</v>
      </c>
      <c r="G1217" s="1">
        <v>4140</v>
      </c>
      <c r="H1217" s="1">
        <v>0.01</v>
      </c>
      <c r="I1217" s="1" t="s">
        <v>15</v>
      </c>
    </row>
    <row r="1218" spans="1:9" x14ac:dyDescent="0.3">
      <c r="A1218" s="1" t="s">
        <v>1247</v>
      </c>
      <c r="B1218" s="1" t="s">
        <v>9</v>
      </c>
      <c r="C1218" s="2">
        <v>43306</v>
      </c>
      <c r="D1218" s="1" t="s">
        <v>29</v>
      </c>
      <c r="E1218" s="1">
        <v>7</v>
      </c>
      <c r="F1218" s="1">
        <v>16</v>
      </c>
      <c r="G1218" s="1">
        <v>112</v>
      </c>
      <c r="H1218" s="1">
        <v>0.02</v>
      </c>
      <c r="I1218" s="1" t="s">
        <v>18</v>
      </c>
    </row>
    <row r="1219" spans="1:9" x14ac:dyDescent="0.3">
      <c r="A1219" s="1" t="s">
        <v>1248</v>
      </c>
      <c r="B1219" s="1" t="s">
        <v>22</v>
      </c>
      <c r="C1219" s="2">
        <v>43306</v>
      </c>
      <c r="D1219" s="1" t="s">
        <v>29</v>
      </c>
      <c r="E1219" s="1">
        <v>6</v>
      </c>
      <c r="F1219" s="1">
        <v>16</v>
      </c>
      <c r="G1219" s="1">
        <v>96</v>
      </c>
      <c r="H1219" s="1">
        <v>7.0000000000000007E-2</v>
      </c>
      <c r="I1219" s="1" t="s">
        <v>46</v>
      </c>
    </row>
    <row r="1220" spans="1:9" x14ac:dyDescent="0.3">
      <c r="A1220" s="1" t="s">
        <v>1249</v>
      </c>
      <c r="B1220" s="1" t="s">
        <v>25</v>
      </c>
      <c r="C1220" s="2">
        <v>43306</v>
      </c>
      <c r="D1220" s="1" t="s">
        <v>17</v>
      </c>
      <c r="E1220" s="1">
        <v>8</v>
      </c>
      <c r="F1220" s="1">
        <v>230</v>
      </c>
      <c r="G1220" s="1">
        <v>1840</v>
      </c>
      <c r="H1220" s="1">
        <v>0.05</v>
      </c>
      <c r="I1220" s="1" t="s">
        <v>23</v>
      </c>
    </row>
    <row r="1221" spans="1:9" x14ac:dyDescent="0.3">
      <c r="A1221" s="1" t="s">
        <v>1250</v>
      </c>
      <c r="B1221" s="1" t="s">
        <v>22</v>
      </c>
      <c r="C1221" s="2">
        <v>43306</v>
      </c>
      <c r="D1221" s="1" t="s">
        <v>29</v>
      </c>
      <c r="E1221" s="1">
        <v>12</v>
      </c>
      <c r="F1221" s="1">
        <v>16</v>
      </c>
      <c r="G1221" s="1">
        <v>192</v>
      </c>
      <c r="H1221" s="1">
        <v>0.11</v>
      </c>
      <c r="I1221" s="1" t="s">
        <v>26</v>
      </c>
    </row>
    <row r="1222" spans="1:9" x14ac:dyDescent="0.3">
      <c r="A1222" s="1" t="s">
        <v>1251</v>
      </c>
      <c r="B1222" s="1" t="s">
        <v>9</v>
      </c>
      <c r="C1222" s="2">
        <v>43306</v>
      </c>
      <c r="D1222" s="1" t="s">
        <v>17</v>
      </c>
      <c r="E1222" s="1">
        <v>11</v>
      </c>
      <c r="F1222" s="1">
        <v>230</v>
      </c>
      <c r="G1222" s="1">
        <v>2530</v>
      </c>
      <c r="H1222" s="1">
        <v>0.02</v>
      </c>
      <c r="I1222" s="1" t="s">
        <v>15</v>
      </c>
    </row>
    <row r="1223" spans="1:9" x14ac:dyDescent="0.3">
      <c r="A1223" s="1" t="s">
        <v>1252</v>
      </c>
      <c r="B1223" s="1" t="s">
        <v>22</v>
      </c>
      <c r="C1223" s="2">
        <v>43306</v>
      </c>
      <c r="D1223" s="1" t="s">
        <v>29</v>
      </c>
      <c r="E1223" s="1">
        <v>3</v>
      </c>
      <c r="F1223" s="1">
        <v>16</v>
      </c>
      <c r="G1223" s="1">
        <v>48</v>
      </c>
      <c r="H1223" s="1">
        <v>0.05</v>
      </c>
      <c r="I1223" s="1" t="s">
        <v>18</v>
      </c>
    </row>
    <row r="1224" spans="1:9" x14ac:dyDescent="0.3">
      <c r="A1224" s="1" t="s">
        <v>1253</v>
      </c>
      <c r="B1224" s="1" t="s">
        <v>13</v>
      </c>
      <c r="C1224" s="2">
        <v>43307</v>
      </c>
      <c r="D1224" s="1" t="s">
        <v>32</v>
      </c>
      <c r="E1224" s="1">
        <v>16</v>
      </c>
      <c r="F1224" s="1">
        <v>150</v>
      </c>
      <c r="G1224" s="1">
        <v>2400</v>
      </c>
      <c r="H1224" s="1">
        <v>0.05</v>
      </c>
      <c r="I1224" s="1" t="s">
        <v>46</v>
      </c>
    </row>
    <row r="1225" spans="1:9" x14ac:dyDescent="0.3">
      <c r="A1225" s="1" t="s">
        <v>1254</v>
      </c>
      <c r="B1225" s="1" t="s">
        <v>25</v>
      </c>
      <c r="C1225" s="2">
        <v>43307</v>
      </c>
      <c r="D1225" s="1" t="s">
        <v>17</v>
      </c>
      <c r="E1225" s="1">
        <v>8</v>
      </c>
      <c r="F1225" s="1">
        <v>230</v>
      </c>
      <c r="G1225" s="1">
        <v>1840</v>
      </c>
      <c r="H1225" s="1">
        <v>0.01</v>
      </c>
      <c r="I1225" s="1" t="s">
        <v>23</v>
      </c>
    </row>
    <row r="1226" spans="1:9" x14ac:dyDescent="0.3">
      <c r="A1226" s="1" t="s">
        <v>1255</v>
      </c>
      <c r="B1226" s="1" t="s">
        <v>22</v>
      </c>
      <c r="C1226" s="2">
        <v>43307</v>
      </c>
      <c r="D1226" s="1" t="s">
        <v>10</v>
      </c>
      <c r="E1226" s="1">
        <v>16</v>
      </c>
      <c r="F1226" s="1">
        <v>80</v>
      </c>
      <c r="G1226" s="1">
        <v>1280</v>
      </c>
      <c r="H1226" s="1">
        <v>0.04</v>
      </c>
      <c r="I1226" s="1" t="s">
        <v>26</v>
      </c>
    </row>
    <row r="1227" spans="1:9" x14ac:dyDescent="0.3">
      <c r="A1227" s="1" t="s">
        <v>1256</v>
      </c>
      <c r="B1227" s="1" t="s">
        <v>25</v>
      </c>
      <c r="C1227" s="2">
        <v>43307</v>
      </c>
      <c r="D1227" s="1" t="s">
        <v>29</v>
      </c>
      <c r="E1227" s="1">
        <v>18</v>
      </c>
      <c r="F1227" s="1">
        <v>16</v>
      </c>
      <c r="G1227" s="1">
        <v>288</v>
      </c>
      <c r="H1227" s="1">
        <v>0.04</v>
      </c>
      <c r="I1227" s="1" t="s">
        <v>30</v>
      </c>
    </row>
    <row r="1228" spans="1:9" x14ac:dyDescent="0.3">
      <c r="A1228" s="1" t="s">
        <v>1257</v>
      </c>
      <c r="B1228" s="1" t="s">
        <v>28</v>
      </c>
      <c r="C1228" s="2">
        <v>43307</v>
      </c>
      <c r="D1228" s="1" t="s">
        <v>14</v>
      </c>
      <c r="E1228" s="1">
        <v>14</v>
      </c>
      <c r="F1228" s="1">
        <v>40</v>
      </c>
      <c r="G1228" s="1">
        <v>560</v>
      </c>
      <c r="H1228" s="1">
        <v>0.11</v>
      </c>
      <c r="I1228" s="1" t="s">
        <v>33</v>
      </c>
    </row>
    <row r="1229" spans="1:9" x14ac:dyDescent="0.3">
      <c r="A1229" s="1" t="s">
        <v>1258</v>
      </c>
      <c r="B1229" s="1" t="s">
        <v>13</v>
      </c>
      <c r="C1229" s="2">
        <v>43307</v>
      </c>
      <c r="D1229" s="1" t="s">
        <v>29</v>
      </c>
      <c r="E1229" s="1">
        <v>21</v>
      </c>
      <c r="F1229" s="1">
        <v>16</v>
      </c>
      <c r="G1229" s="1">
        <v>336</v>
      </c>
      <c r="H1229" s="1">
        <v>0.02</v>
      </c>
      <c r="I1229" s="1" t="s">
        <v>35</v>
      </c>
    </row>
    <row r="1230" spans="1:9" x14ac:dyDescent="0.3">
      <c r="A1230" s="1" t="s">
        <v>1259</v>
      </c>
      <c r="B1230" s="1" t="s">
        <v>13</v>
      </c>
      <c r="C1230" s="2">
        <v>43307</v>
      </c>
      <c r="D1230" s="1" t="s">
        <v>29</v>
      </c>
      <c r="E1230" s="1">
        <v>7</v>
      </c>
      <c r="F1230" s="1">
        <v>16</v>
      </c>
      <c r="G1230" s="1">
        <v>112</v>
      </c>
      <c r="H1230" s="1">
        <v>0.08</v>
      </c>
      <c r="I1230" s="1" t="s">
        <v>37</v>
      </c>
    </row>
    <row r="1231" spans="1:9" x14ac:dyDescent="0.3">
      <c r="A1231" s="1" t="s">
        <v>1260</v>
      </c>
      <c r="B1231" s="1" t="s">
        <v>22</v>
      </c>
      <c r="C1231" s="2">
        <v>43307</v>
      </c>
      <c r="D1231" s="1" t="s">
        <v>10</v>
      </c>
      <c r="E1231" s="1">
        <v>7</v>
      </c>
      <c r="F1231" s="1">
        <v>80</v>
      </c>
      <c r="G1231" s="1">
        <v>560</v>
      </c>
      <c r="H1231" s="1">
        <v>0.05</v>
      </c>
      <c r="I1231" s="1" t="s">
        <v>39</v>
      </c>
    </row>
    <row r="1232" spans="1:9" x14ac:dyDescent="0.3">
      <c r="A1232" s="1" t="s">
        <v>1261</v>
      </c>
      <c r="B1232" s="1" t="s">
        <v>28</v>
      </c>
      <c r="C1232" s="2">
        <v>43307</v>
      </c>
      <c r="D1232" s="1" t="s">
        <v>14</v>
      </c>
      <c r="E1232" s="1">
        <v>16</v>
      </c>
      <c r="F1232" s="1">
        <v>40</v>
      </c>
      <c r="G1232" s="1">
        <v>640</v>
      </c>
      <c r="H1232" s="1">
        <v>0.09</v>
      </c>
      <c r="I1232" s="1" t="s">
        <v>41</v>
      </c>
    </row>
    <row r="1233" spans="1:9" x14ac:dyDescent="0.3">
      <c r="A1233" s="1" t="s">
        <v>1262</v>
      </c>
      <c r="B1233" s="1" t="s">
        <v>28</v>
      </c>
      <c r="C1233" s="2">
        <v>43307</v>
      </c>
      <c r="D1233" s="1" t="s">
        <v>17</v>
      </c>
      <c r="E1233" s="1">
        <v>22</v>
      </c>
      <c r="F1233" s="1">
        <v>230</v>
      </c>
      <c r="G1233" s="1">
        <v>5060</v>
      </c>
      <c r="H1233" s="1">
        <v>0.1</v>
      </c>
      <c r="I1233" s="1" t="s">
        <v>11</v>
      </c>
    </row>
    <row r="1234" spans="1:9" x14ac:dyDescent="0.3">
      <c r="A1234" s="1" t="s">
        <v>1263</v>
      </c>
      <c r="B1234" s="1" t="s">
        <v>13</v>
      </c>
      <c r="C1234" s="2">
        <v>43307</v>
      </c>
      <c r="D1234" s="1" t="s">
        <v>14</v>
      </c>
      <c r="E1234" s="1">
        <v>4</v>
      </c>
      <c r="F1234" s="1">
        <v>40</v>
      </c>
      <c r="G1234" s="1">
        <v>160</v>
      </c>
      <c r="H1234" s="1">
        <v>0.03</v>
      </c>
      <c r="I1234" s="1" t="s">
        <v>15</v>
      </c>
    </row>
    <row r="1235" spans="1:9" x14ac:dyDescent="0.3">
      <c r="A1235" s="1" t="s">
        <v>1264</v>
      </c>
      <c r="B1235" s="1" t="s">
        <v>28</v>
      </c>
      <c r="C1235" s="2">
        <v>43307</v>
      </c>
      <c r="D1235" s="1" t="s">
        <v>17</v>
      </c>
      <c r="E1235" s="1">
        <v>3</v>
      </c>
      <c r="F1235" s="1">
        <v>230</v>
      </c>
      <c r="G1235" s="1">
        <v>690</v>
      </c>
      <c r="H1235" s="1">
        <v>0.1</v>
      </c>
      <c r="I1235" s="1" t="s">
        <v>18</v>
      </c>
    </row>
    <row r="1236" spans="1:9" x14ac:dyDescent="0.3">
      <c r="A1236" s="1" t="s">
        <v>1265</v>
      </c>
      <c r="B1236" s="1" t="s">
        <v>13</v>
      </c>
      <c r="C1236" s="2">
        <v>43307</v>
      </c>
      <c r="D1236" s="1" t="s">
        <v>10</v>
      </c>
      <c r="E1236" s="1">
        <v>14</v>
      </c>
      <c r="F1236" s="1">
        <v>80</v>
      </c>
      <c r="G1236" s="1">
        <v>1120</v>
      </c>
      <c r="H1236" s="1">
        <v>0.11</v>
      </c>
      <c r="I1236" s="1" t="s">
        <v>46</v>
      </c>
    </row>
    <row r="1237" spans="1:9" x14ac:dyDescent="0.3">
      <c r="A1237" s="1" t="s">
        <v>1266</v>
      </c>
      <c r="B1237" s="1" t="s">
        <v>28</v>
      </c>
      <c r="C1237" s="2">
        <v>43308</v>
      </c>
      <c r="D1237" s="1" t="s">
        <v>14</v>
      </c>
      <c r="E1237" s="1">
        <v>21</v>
      </c>
      <c r="F1237" s="1">
        <v>40</v>
      </c>
      <c r="G1237" s="1">
        <v>840</v>
      </c>
      <c r="H1237" s="1">
        <v>0.01</v>
      </c>
      <c r="I1237" s="1" t="s">
        <v>23</v>
      </c>
    </row>
    <row r="1238" spans="1:9" x14ac:dyDescent="0.3">
      <c r="A1238" s="1" t="s">
        <v>1267</v>
      </c>
      <c r="B1238" s="1" t="s">
        <v>13</v>
      </c>
      <c r="C1238" s="2">
        <v>43308</v>
      </c>
      <c r="D1238" s="1" t="s">
        <v>29</v>
      </c>
      <c r="E1238" s="1">
        <v>20</v>
      </c>
      <c r="F1238" s="1">
        <v>16</v>
      </c>
      <c r="G1238" s="1">
        <v>320</v>
      </c>
      <c r="H1238" s="1">
        <v>0.06</v>
      </c>
      <c r="I1238" s="1" t="s">
        <v>26</v>
      </c>
    </row>
    <row r="1239" spans="1:9" x14ac:dyDescent="0.3">
      <c r="A1239" s="1" t="s">
        <v>1268</v>
      </c>
      <c r="B1239" s="1" t="s">
        <v>28</v>
      </c>
      <c r="C1239" s="2">
        <v>43308</v>
      </c>
      <c r="D1239" s="1" t="s">
        <v>10</v>
      </c>
      <c r="E1239" s="1">
        <v>22</v>
      </c>
      <c r="F1239" s="1">
        <v>80</v>
      </c>
      <c r="G1239" s="1">
        <v>1760</v>
      </c>
      <c r="H1239" s="1">
        <v>0.11</v>
      </c>
      <c r="I1239" s="1" t="s">
        <v>15</v>
      </c>
    </row>
    <row r="1240" spans="1:9" x14ac:dyDescent="0.3">
      <c r="A1240" s="1" t="s">
        <v>1269</v>
      </c>
      <c r="B1240" s="1" t="s">
        <v>9</v>
      </c>
      <c r="C1240" s="2">
        <v>43308</v>
      </c>
      <c r="D1240" s="1" t="s">
        <v>14</v>
      </c>
      <c r="E1240" s="1">
        <v>7</v>
      </c>
      <c r="F1240" s="1">
        <v>40</v>
      </c>
      <c r="G1240" s="1">
        <v>280</v>
      </c>
      <c r="H1240" s="1">
        <v>0.1</v>
      </c>
      <c r="I1240" s="1" t="s">
        <v>18</v>
      </c>
    </row>
    <row r="1241" spans="1:9" x14ac:dyDescent="0.3">
      <c r="A1241" s="1" t="s">
        <v>1270</v>
      </c>
      <c r="B1241" s="1" t="s">
        <v>13</v>
      </c>
      <c r="C1241" s="2">
        <v>43308</v>
      </c>
      <c r="D1241" s="1" t="s">
        <v>32</v>
      </c>
      <c r="E1241" s="1">
        <v>16</v>
      </c>
      <c r="F1241" s="1">
        <v>150</v>
      </c>
      <c r="G1241" s="1">
        <v>2400</v>
      </c>
      <c r="H1241" s="1">
        <v>0.05</v>
      </c>
      <c r="I1241" s="1" t="s">
        <v>46</v>
      </c>
    </row>
    <row r="1242" spans="1:9" x14ac:dyDescent="0.3">
      <c r="A1242" s="1" t="s">
        <v>1271</v>
      </c>
      <c r="B1242" s="1" t="s">
        <v>13</v>
      </c>
      <c r="C1242" s="2">
        <v>43308</v>
      </c>
      <c r="D1242" s="1" t="s">
        <v>17</v>
      </c>
      <c r="E1242" s="1">
        <v>7</v>
      </c>
      <c r="F1242" s="1">
        <v>230</v>
      </c>
      <c r="G1242" s="1">
        <v>1610</v>
      </c>
      <c r="H1242" s="1">
        <v>0.05</v>
      </c>
      <c r="I1242" s="1" t="s">
        <v>23</v>
      </c>
    </row>
    <row r="1243" spans="1:9" x14ac:dyDescent="0.3">
      <c r="A1243" s="1" t="s">
        <v>1272</v>
      </c>
      <c r="B1243" s="1" t="s">
        <v>9</v>
      </c>
      <c r="C1243" s="2">
        <v>43308</v>
      </c>
      <c r="D1243" s="1" t="s">
        <v>32</v>
      </c>
      <c r="E1243" s="1">
        <v>20</v>
      </c>
      <c r="F1243" s="1">
        <v>150</v>
      </c>
      <c r="G1243" s="1">
        <v>3000</v>
      </c>
      <c r="H1243" s="1">
        <v>0.03</v>
      </c>
      <c r="I1243" s="1" t="s">
        <v>26</v>
      </c>
    </row>
    <row r="1244" spans="1:9" x14ac:dyDescent="0.3">
      <c r="A1244" s="1" t="s">
        <v>1273</v>
      </c>
      <c r="B1244" s="1" t="s">
        <v>13</v>
      </c>
      <c r="C1244" s="2">
        <v>43308</v>
      </c>
      <c r="D1244" s="1" t="s">
        <v>32</v>
      </c>
      <c r="E1244" s="1">
        <v>16</v>
      </c>
      <c r="F1244" s="1">
        <v>150</v>
      </c>
      <c r="G1244" s="1">
        <v>2400</v>
      </c>
      <c r="H1244" s="1">
        <v>0.03</v>
      </c>
      <c r="I1244" s="1" t="s">
        <v>30</v>
      </c>
    </row>
    <row r="1245" spans="1:9" x14ac:dyDescent="0.3">
      <c r="A1245" s="1" t="s">
        <v>1274</v>
      </c>
      <c r="B1245" s="1" t="s">
        <v>25</v>
      </c>
      <c r="C1245" s="2">
        <v>43308</v>
      </c>
      <c r="D1245" s="1" t="s">
        <v>29</v>
      </c>
      <c r="E1245" s="1">
        <v>10</v>
      </c>
      <c r="F1245" s="1">
        <v>16</v>
      </c>
      <c r="G1245" s="1">
        <v>160</v>
      </c>
      <c r="H1245" s="1">
        <v>0.04</v>
      </c>
      <c r="I1245" s="1" t="s">
        <v>33</v>
      </c>
    </row>
    <row r="1246" spans="1:9" x14ac:dyDescent="0.3">
      <c r="A1246" s="1" t="s">
        <v>1275</v>
      </c>
      <c r="B1246" s="1" t="s">
        <v>28</v>
      </c>
      <c r="C1246" s="2">
        <v>43308</v>
      </c>
      <c r="D1246" s="1" t="s">
        <v>10</v>
      </c>
      <c r="E1246" s="1">
        <v>6</v>
      </c>
      <c r="F1246" s="1">
        <v>80</v>
      </c>
      <c r="G1246" s="1">
        <v>480</v>
      </c>
      <c r="H1246" s="1">
        <v>0.09</v>
      </c>
      <c r="I1246" s="1" t="s">
        <v>35</v>
      </c>
    </row>
    <row r="1247" spans="1:9" x14ac:dyDescent="0.3">
      <c r="A1247" s="1" t="s">
        <v>1276</v>
      </c>
      <c r="B1247" s="1" t="s">
        <v>9</v>
      </c>
      <c r="C1247" s="2">
        <v>43308</v>
      </c>
      <c r="D1247" s="1" t="s">
        <v>10</v>
      </c>
      <c r="E1247" s="1">
        <v>17</v>
      </c>
      <c r="F1247" s="1">
        <v>80</v>
      </c>
      <c r="G1247" s="1">
        <v>1360</v>
      </c>
      <c r="H1247" s="1">
        <v>0.09</v>
      </c>
      <c r="I1247" s="1" t="s">
        <v>37</v>
      </c>
    </row>
    <row r="1248" spans="1:9" x14ac:dyDescent="0.3">
      <c r="A1248" s="1" t="s">
        <v>1277</v>
      </c>
      <c r="B1248" s="1" t="s">
        <v>9</v>
      </c>
      <c r="C1248" s="2">
        <v>43308</v>
      </c>
      <c r="D1248" s="1" t="s">
        <v>14</v>
      </c>
      <c r="E1248" s="1">
        <v>19</v>
      </c>
      <c r="F1248" s="1">
        <v>40</v>
      </c>
      <c r="G1248" s="1">
        <v>760</v>
      </c>
      <c r="H1248" s="1">
        <v>0.04</v>
      </c>
      <c r="I1248" s="1" t="s">
        <v>39</v>
      </c>
    </row>
    <row r="1249" spans="1:9" x14ac:dyDescent="0.3">
      <c r="A1249" s="1" t="s">
        <v>1278</v>
      </c>
      <c r="B1249" s="1" t="s">
        <v>28</v>
      </c>
      <c r="C1249" s="2">
        <v>43308</v>
      </c>
      <c r="D1249" s="1" t="s">
        <v>14</v>
      </c>
      <c r="E1249" s="1">
        <v>16</v>
      </c>
      <c r="F1249" s="1">
        <v>40</v>
      </c>
      <c r="G1249" s="1">
        <v>640</v>
      </c>
      <c r="H1249" s="1">
        <v>0.09</v>
      </c>
      <c r="I1249" s="1" t="s">
        <v>41</v>
      </c>
    </row>
    <row r="1250" spans="1:9" x14ac:dyDescent="0.3">
      <c r="A1250" s="1" t="s">
        <v>1279</v>
      </c>
      <c r="B1250" s="1" t="s">
        <v>9</v>
      </c>
      <c r="C1250" s="2">
        <v>43308</v>
      </c>
      <c r="D1250" s="1" t="s">
        <v>29</v>
      </c>
      <c r="E1250" s="1">
        <v>4</v>
      </c>
      <c r="F1250" s="1">
        <v>16</v>
      </c>
      <c r="G1250" s="1">
        <v>64</v>
      </c>
      <c r="H1250" s="1">
        <v>0.12</v>
      </c>
      <c r="I1250" s="1" t="s">
        <v>11</v>
      </c>
    </row>
    <row r="1251" spans="1:9" x14ac:dyDescent="0.3">
      <c r="A1251" s="1" t="s">
        <v>1280</v>
      </c>
      <c r="B1251" s="1" t="s">
        <v>25</v>
      </c>
      <c r="C1251" s="2">
        <v>43308</v>
      </c>
      <c r="D1251" s="1" t="s">
        <v>32</v>
      </c>
      <c r="E1251" s="1">
        <v>9</v>
      </c>
      <c r="F1251" s="1">
        <v>150</v>
      </c>
      <c r="G1251" s="1">
        <v>1350</v>
      </c>
      <c r="H1251" s="1">
        <v>0.02</v>
      </c>
      <c r="I1251" s="1" t="s">
        <v>15</v>
      </c>
    </row>
    <row r="1252" spans="1:9" x14ac:dyDescent="0.3">
      <c r="A1252" s="1" t="s">
        <v>1281</v>
      </c>
      <c r="B1252" s="1" t="s">
        <v>9</v>
      </c>
      <c r="C1252" s="2">
        <v>43308</v>
      </c>
      <c r="D1252" s="1" t="s">
        <v>29</v>
      </c>
      <c r="E1252" s="1">
        <v>11</v>
      </c>
      <c r="F1252" s="1">
        <v>16</v>
      </c>
      <c r="G1252" s="1">
        <v>176</v>
      </c>
      <c r="H1252" s="1">
        <v>0.09</v>
      </c>
      <c r="I1252" s="1" t="s">
        <v>18</v>
      </c>
    </row>
    <row r="1253" spans="1:9" x14ac:dyDescent="0.3">
      <c r="A1253" s="1" t="s">
        <v>1282</v>
      </c>
      <c r="B1253" s="1" t="s">
        <v>13</v>
      </c>
      <c r="C1253" s="2">
        <v>43308</v>
      </c>
      <c r="D1253" s="1" t="s">
        <v>10</v>
      </c>
      <c r="E1253" s="1">
        <v>17</v>
      </c>
      <c r="F1253" s="1">
        <v>80</v>
      </c>
      <c r="G1253" s="1">
        <v>1360</v>
      </c>
      <c r="H1253" s="1">
        <v>0.03</v>
      </c>
      <c r="I1253" s="1" t="s">
        <v>46</v>
      </c>
    </row>
    <row r="1254" spans="1:9" x14ac:dyDescent="0.3">
      <c r="A1254" s="1" t="s">
        <v>1283</v>
      </c>
      <c r="B1254" s="1" t="s">
        <v>9</v>
      </c>
      <c r="C1254" s="2">
        <v>43309</v>
      </c>
      <c r="D1254" s="1" t="s">
        <v>32</v>
      </c>
      <c r="E1254" s="1">
        <v>3</v>
      </c>
      <c r="F1254" s="1">
        <v>150</v>
      </c>
      <c r="G1254" s="1">
        <v>450</v>
      </c>
      <c r="H1254" s="1">
        <v>0.03</v>
      </c>
      <c r="I1254" s="1" t="s">
        <v>23</v>
      </c>
    </row>
    <row r="1255" spans="1:9" x14ac:dyDescent="0.3">
      <c r="A1255" s="1" t="s">
        <v>1284</v>
      </c>
      <c r="B1255" s="1" t="s">
        <v>25</v>
      </c>
      <c r="C1255" s="2">
        <v>43309</v>
      </c>
      <c r="D1255" s="1" t="s">
        <v>17</v>
      </c>
      <c r="E1255" s="1">
        <v>2</v>
      </c>
      <c r="F1255" s="1">
        <v>230</v>
      </c>
      <c r="G1255" s="1">
        <v>460</v>
      </c>
      <c r="H1255" s="1">
        <v>0.08</v>
      </c>
      <c r="I1255" s="1" t="s">
        <v>26</v>
      </c>
    </row>
    <row r="1256" spans="1:9" x14ac:dyDescent="0.3">
      <c r="A1256" s="1" t="s">
        <v>1285</v>
      </c>
      <c r="B1256" s="1" t="s">
        <v>25</v>
      </c>
      <c r="C1256" s="2">
        <v>43309</v>
      </c>
      <c r="D1256" s="1" t="s">
        <v>17</v>
      </c>
      <c r="E1256" s="1">
        <v>17</v>
      </c>
      <c r="F1256" s="1">
        <v>230</v>
      </c>
      <c r="G1256" s="1">
        <v>3910</v>
      </c>
      <c r="H1256" s="1">
        <v>0.12</v>
      </c>
      <c r="I1256" s="1" t="s">
        <v>15</v>
      </c>
    </row>
    <row r="1257" spans="1:9" x14ac:dyDescent="0.3">
      <c r="A1257" s="1" t="s">
        <v>1286</v>
      </c>
      <c r="B1257" s="1" t="s">
        <v>13</v>
      </c>
      <c r="C1257" s="2">
        <v>43309</v>
      </c>
      <c r="D1257" s="1" t="s">
        <v>32</v>
      </c>
      <c r="E1257" s="1">
        <v>2</v>
      </c>
      <c r="F1257" s="1">
        <v>150</v>
      </c>
      <c r="G1257" s="1">
        <v>300</v>
      </c>
      <c r="H1257" s="1">
        <v>0.09</v>
      </c>
      <c r="I1257" s="1" t="s">
        <v>18</v>
      </c>
    </row>
    <row r="1258" spans="1:9" x14ac:dyDescent="0.3">
      <c r="A1258" s="1" t="s">
        <v>1287</v>
      </c>
      <c r="B1258" s="1" t="s">
        <v>25</v>
      </c>
      <c r="C1258" s="2">
        <v>43309</v>
      </c>
      <c r="D1258" s="1" t="s">
        <v>14</v>
      </c>
      <c r="E1258" s="1">
        <v>18</v>
      </c>
      <c r="F1258" s="1">
        <v>40</v>
      </c>
      <c r="G1258" s="1">
        <v>720</v>
      </c>
      <c r="H1258" s="1">
        <v>0.06</v>
      </c>
      <c r="I1258" s="1" t="s">
        <v>46</v>
      </c>
    </row>
    <row r="1259" spans="1:9" x14ac:dyDescent="0.3">
      <c r="A1259" s="1" t="s">
        <v>1288</v>
      </c>
      <c r="B1259" s="1" t="s">
        <v>22</v>
      </c>
      <c r="C1259" s="2">
        <v>43309</v>
      </c>
      <c r="D1259" s="1" t="s">
        <v>32</v>
      </c>
      <c r="E1259" s="1">
        <v>18</v>
      </c>
      <c r="F1259" s="1">
        <v>150</v>
      </c>
      <c r="G1259" s="1">
        <v>2700</v>
      </c>
      <c r="H1259" s="1">
        <v>0.06</v>
      </c>
      <c r="I1259" s="1" t="s">
        <v>23</v>
      </c>
    </row>
    <row r="1260" spans="1:9" x14ac:dyDescent="0.3">
      <c r="A1260" s="1" t="s">
        <v>1289</v>
      </c>
      <c r="B1260" s="1" t="s">
        <v>13</v>
      </c>
      <c r="C1260" s="2">
        <v>43309</v>
      </c>
      <c r="D1260" s="1" t="s">
        <v>14</v>
      </c>
      <c r="E1260" s="1">
        <v>12</v>
      </c>
      <c r="F1260" s="1">
        <v>40</v>
      </c>
      <c r="G1260" s="1">
        <v>480</v>
      </c>
      <c r="H1260" s="1">
        <v>0.1</v>
      </c>
      <c r="I1260" s="1" t="s">
        <v>26</v>
      </c>
    </row>
    <row r="1261" spans="1:9" x14ac:dyDescent="0.3">
      <c r="A1261" s="1" t="s">
        <v>1290</v>
      </c>
      <c r="B1261" s="1" t="s">
        <v>9</v>
      </c>
      <c r="C1261" s="2">
        <v>43309</v>
      </c>
      <c r="D1261" s="1" t="s">
        <v>10</v>
      </c>
      <c r="E1261" s="1">
        <v>21</v>
      </c>
      <c r="F1261" s="1">
        <v>80</v>
      </c>
      <c r="G1261" s="1">
        <v>1680</v>
      </c>
      <c r="H1261" s="1">
        <v>0.04</v>
      </c>
      <c r="I1261" s="1" t="s">
        <v>30</v>
      </c>
    </row>
    <row r="1262" spans="1:9" x14ac:dyDescent="0.3">
      <c r="A1262" s="1" t="s">
        <v>1291</v>
      </c>
      <c r="B1262" s="1" t="s">
        <v>28</v>
      </c>
      <c r="C1262" s="2">
        <v>43309</v>
      </c>
      <c r="D1262" s="1" t="s">
        <v>14</v>
      </c>
      <c r="E1262" s="1">
        <v>3</v>
      </c>
      <c r="F1262" s="1">
        <v>40</v>
      </c>
      <c r="G1262" s="1">
        <v>120</v>
      </c>
      <c r="H1262" s="1">
        <v>0.03</v>
      </c>
      <c r="I1262" s="1" t="s">
        <v>33</v>
      </c>
    </row>
    <row r="1263" spans="1:9" x14ac:dyDescent="0.3">
      <c r="A1263" s="1" t="s">
        <v>1292</v>
      </c>
      <c r="B1263" s="1" t="s">
        <v>28</v>
      </c>
      <c r="C1263" s="2">
        <v>43309</v>
      </c>
      <c r="D1263" s="1" t="s">
        <v>10</v>
      </c>
      <c r="E1263" s="1">
        <v>22</v>
      </c>
      <c r="F1263" s="1">
        <v>80</v>
      </c>
      <c r="G1263" s="1">
        <v>1760</v>
      </c>
      <c r="H1263" s="1">
        <v>0.1</v>
      </c>
      <c r="I1263" s="1" t="s">
        <v>35</v>
      </c>
    </row>
    <row r="1264" spans="1:9" x14ac:dyDescent="0.3">
      <c r="A1264" s="1" t="s">
        <v>1293</v>
      </c>
      <c r="B1264" s="1" t="s">
        <v>28</v>
      </c>
      <c r="C1264" s="2">
        <v>43309</v>
      </c>
      <c r="D1264" s="1" t="s">
        <v>14</v>
      </c>
      <c r="E1264" s="1">
        <v>16</v>
      </c>
      <c r="F1264" s="1">
        <v>40</v>
      </c>
      <c r="G1264" s="1">
        <v>640</v>
      </c>
      <c r="H1264" s="1">
        <v>0.11</v>
      </c>
      <c r="I1264" s="1" t="s">
        <v>37</v>
      </c>
    </row>
    <row r="1265" spans="1:9" x14ac:dyDescent="0.3">
      <c r="A1265" s="1" t="s">
        <v>1294</v>
      </c>
      <c r="B1265" s="1" t="s">
        <v>9</v>
      </c>
      <c r="C1265" s="2">
        <v>43309</v>
      </c>
      <c r="D1265" s="1" t="s">
        <v>29</v>
      </c>
      <c r="E1265" s="1">
        <v>11</v>
      </c>
      <c r="F1265" s="1">
        <v>16</v>
      </c>
      <c r="G1265" s="1">
        <v>176</v>
      </c>
      <c r="H1265" s="1">
        <v>0.09</v>
      </c>
      <c r="I1265" s="1" t="s">
        <v>39</v>
      </c>
    </row>
    <row r="1266" spans="1:9" x14ac:dyDescent="0.3">
      <c r="A1266" s="1" t="s">
        <v>1295</v>
      </c>
      <c r="B1266" s="1" t="s">
        <v>22</v>
      </c>
      <c r="C1266" s="2">
        <v>43310</v>
      </c>
      <c r="D1266" s="1" t="s">
        <v>10</v>
      </c>
      <c r="E1266" s="1">
        <v>10</v>
      </c>
      <c r="F1266" s="1">
        <v>80</v>
      </c>
      <c r="G1266" s="1">
        <v>800</v>
      </c>
      <c r="H1266" s="1">
        <v>0.08</v>
      </c>
      <c r="I1266" s="1" t="s">
        <v>41</v>
      </c>
    </row>
    <row r="1267" spans="1:9" x14ac:dyDescent="0.3">
      <c r="A1267" s="1" t="s">
        <v>1296</v>
      </c>
      <c r="B1267" s="1" t="s">
        <v>22</v>
      </c>
      <c r="C1267" s="2">
        <v>43310</v>
      </c>
      <c r="D1267" s="1" t="s">
        <v>29</v>
      </c>
      <c r="E1267" s="1">
        <v>12</v>
      </c>
      <c r="F1267" s="1">
        <v>16</v>
      </c>
      <c r="G1267" s="1">
        <v>192</v>
      </c>
      <c r="H1267" s="1">
        <v>0.03</v>
      </c>
      <c r="I1267" s="1" t="s">
        <v>11</v>
      </c>
    </row>
    <row r="1268" spans="1:9" x14ac:dyDescent="0.3">
      <c r="A1268" s="1" t="s">
        <v>1297</v>
      </c>
      <c r="B1268" s="1" t="s">
        <v>9</v>
      </c>
      <c r="C1268" s="2">
        <v>43310</v>
      </c>
      <c r="D1268" s="1" t="s">
        <v>32</v>
      </c>
      <c r="E1268" s="1">
        <v>8</v>
      </c>
      <c r="F1268" s="1">
        <v>150</v>
      </c>
      <c r="G1268" s="1">
        <v>1200</v>
      </c>
      <c r="H1268" s="1">
        <v>0.09</v>
      </c>
      <c r="I1268" s="1" t="s">
        <v>15</v>
      </c>
    </row>
    <row r="1269" spans="1:9" x14ac:dyDescent="0.3">
      <c r="A1269" s="1" t="s">
        <v>1298</v>
      </c>
      <c r="B1269" s="1" t="s">
        <v>28</v>
      </c>
      <c r="C1269" s="2">
        <v>43310</v>
      </c>
      <c r="D1269" s="1" t="s">
        <v>14</v>
      </c>
      <c r="E1269" s="1">
        <v>10</v>
      </c>
      <c r="F1269" s="1">
        <v>40</v>
      </c>
      <c r="G1269" s="1">
        <v>400</v>
      </c>
      <c r="H1269" s="1">
        <v>0.03</v>
      </c>
      <c r="I1269" s="1" t="s">
        <v>18</v>
      </c>
    </row>
    <row r="1270" spans="1:9" x14ac:dyDescent="0.3">
      <c r="A1270" s="1" t="s">
        <v>1299</v>
      </c>
      <c r="B1270" s="1" t="s">
        <v>9</v>
      </c>
      <c r="C1270" s="2">
        <v>43310</v>
      </c>
      <c r="D1270" s="1" t="s">
        <v>32</v>
      </c>
      <c r="E1270" s="1">
        <v>7</v>
      </c>
      <c r="F1270" s="1">
        <v>150</v>
      </c>
      <c r="G1270" s="1">
        <v>1050</v>
      </c>
      <c r="H1270" s="1">
        <v>0.02</v>
      </c>
      <c r="I1270" s="1" t="s">
        <v>46</v>
      </c>
    </row>
    <row r="1271" spans="1:9" x14ac:dyDescent="0.3">
      <c r="A1271" s="1" t="s">
        <v>1300</v>
      </c>
      <c r="B1271" s="1" t="s">
        <v>22</v>
      </c>
      <c r="C1271" s="2">
        <v>43310</v>
      </c>
      <c r="D1271" s="1" t="s">
        <v>29</v>
      </c>
      <c r="E1271" s="1">
        <v>6</v>
      </c>
      <c r="F1271" s="1">
        <v>16</v>
      </c>
      <c r="G1271" s="1">
        <v>96</v>
      </c>
      <c r="H1271" s="1">
        <v>0.01</v>
      </c>
      <c r="I1271" s="1" t="s">
        <v>23</v>
      </c>
    </row>
    <row r="1272" spans="1:9" x14ac:dyDescent="0.3">
      <c r="A1272" s="1" t="s">
        <v>1301</v>
      </c>
      <c r="B1272" s="1" t="s">
        <v>25</v>
      </c>
      <c r="C1272" s="2">
        <v>43310</v>
      </c>
      <c r="D1272" s="1" t="s">
        <v>10</v>
      </c>
      <c r="E1272" s="1">
        <v>15</v>
      </c>
      <c r="F1272" s="1">
        <v>80</v>
      </c>
      <c r="G1272" s="1">
        <v>1200</v>
      </c>
      <c r="H1272" s="1">
        <v>0.08</v>
      </c>
      <c r="I1272" s="1" t="s">
        <v>26</v>
      </c>
    </row>
    <row r="1273" spans="1:9" x14ac:dyDescent="0.3">
      <c r="A1273" s="1" t="s">
        <v>1302</v>
      </c>
      <c r="B1273" s="1" t="s">
        <v>28</v>
      </c>
      <c r="C1273" s="2">
        <v>43310</v>
      </c>
      <c r="D1273" s="1" t="s">
        <v>29</v>
      </c>
      <c r="E1273" s="1">
        <v>13</v>
      </c>
      <c r="F1273" s="1">
        <v>16</v>
      </c>
      <c r="G1273" s="1">
        <v>208</v>
      </c>
      <c r="H1273" s="1">
        <v>7.0000000000000007E-2</v>
      </c>
      <c r="I1273" s="1" t="s">
        <v>15</v>
      </c>
    </row>
    <row r="1274" spans="1:9" x14ac:dyDescent="0.3">
      <c r="A1274" s="1" t="s">
        <v>1303</v>
      </c>
      <c r="B1274" s="1" t="s">
        <v>25</v>
      </c>
      <c r="C1274" s="2">
        <v>43310</v>
      </c>
      <c r="D1274" s="1" t="s">
        <v>17</v>
      </c>
      <c r="E1274" s="1">
        <v>19</v>
      </c>
      <c r="F1274" s="1">
        <v>230</v>
      </c>
      <c r="G1274" s="1">
        <v>4370</v>
      </c>
      <c r="H1274" s="1">
        <v>0.06</v>
      </c>
      <c r="I1274" s="1" t="s">
        <v>18</v>
      </c>
    </row>
    <row r="1275" spans="1:9" x14ac:dyDescent="0.3">
      <c r="A1275" s="1" t="s">
        <v>1304</v>
      </c>
      <c r="B1275" s="1" t="s">
        <v>25</v>
      </c>
      <c r="C1275" s="2">
        <v>43310</v>
      </c>
      <c r="D1275" s="1" t="s">
        <v>10</v>
      </c>
      <c r="E1275" s="1">
        <v>21</v>
      </c>
      <c r="F1275" s="1">
        <v>80</v>
      </c>
      <c r="G1275" s="1">
        <v>1680</v>
      </c>
      <c r="H1275" s="1">
        <v>0.05</v>
      </c>
      <c r="I1275" s="1" t="s">
        <v>46</v>
      </c>
    </row>
    <row r="1276" spans="1:9" x14ac:dyDescent="0.3">
      <c r="A1276" s="1" t="s">
        <v>1305</v>
      </c>
      <c r="B1276" s="1" t="s">
        <v>13</v>
      </c>
      <c r="C1276" s="2">
        <v>43310</v>
      </c>
      <c r="D1276" s="1" t="s">
        <v>10</v>
      </c>
      <c r="E1276" s="1">
        <v>5</v>
      </c>
      <c r="F1276" s="1">
        <v>80</v>
      </c>
      <c r="G1276" s="1">
        <v>400</v>
      </c>
      <c r="H1276" s="1">
        <v>7.0000000000000007E-2</v>
      </c>
      <c r="I1276" s="1" t="s">
        <v>23</v>
      </c>
    </row>
    <row r="1277" spans="1:9" x14ac:dyDescent="0.3">
      <c r="A1277" s="1" t="s">
        <v>1306</v>
      </c>
      <c r="B1277" s="1" t="s">
        <v>22</v>
      </c>
      <c r="C1277" s="2">
        <v>43310</v>
      </c>
      <c r="D1277" s="1" t="s">
        <v>29</v>
      </c>
      <c r="E1277" s="1">
        <v>8</v>
      </c>
      <c r="F1277" s="1">
        <v>16</v>
      </c>
      <c r="G1277" s="1">
        <v>128</v>
      </c>
      <c r="H1277" s="1">
        <v>0.03</v>
      </c>
      <c r="I1277" s="1" t="s">
        <v>26</v>
      </c>
    </row>
    <row r="1278" spans="1:9" x14ac:dyDescent="0.3">
      <c r="A1278" s="1" t="s">
        <v>1307</v>
      </c>
      <c r="B1278" s="1" t="s">
        <v>22</v>
      </c>
      <c r="C1278" s="2">
        <v>43310</v>
      </c>
      <c r="D1278" s="1" t="s">
        <v>29</v>
      </c>
      <c r="E1278" s="1">
        <v>12</v>
      </c>
      <c r="F1278" s="1">
        <v>16</v>
      </c>
      <c r="G1278" s="1">
        <v>192</v>
      </c>
      <c r="H1278" s="1">
        <v>0.11</v>
      </c>
      <c r="I1278" s="1" t="s">
        <v>30</v>
      </c>
    </row>
    <row r="1279" spans="1:9" x14ac:dyDescent="0.3">
      <c r="A1279" s="1" t="s">
        <v>1308</v>
      </c>
      <c r="B1279" s="1" t="s">
        <v>25</v>
      </c>
      <c r="C1279" s="2">
        <v>43310</v>
      </c>
      <c r="D1279" s="1" t="s">
        <v>10</v>
      </c>
      <c r="E1279" s="1">
        <v>22</v>
      </c>
      <c r="F1279" s="1">
        <v>80</v>
      </c>
      <c r="G1279" s="1">
        <v>1760</v>
      </c>
      <c r="H1279" s="1">
        <v>0.03</v>
      </c>
      <c r="I1279" s="1" t="s">
        <v>33</v>
      </c>
    </row>
    <row r="1280" spans="1:9" x14ac:dyDescent="0.3">
      <c r="A1280" s="1" t="s">
        <v>1309</v>
      </c>
      <c r="B1280" s="1" t="s">
        <v>9</v>
      </c>
      <c r="C1280" s="2">
        <v>43310</v>
      </c>
      <c r="D1280" s="1" t="s">
        <v>14</v>
      </c>
      <c r="E1280" s="1">
        <v>5</v>
      </c>
      <c r="F1280" s="1">
        <v>40</v>
      </c>
      <c r="G1280" s="1">
        <v>200</v>
      </c>
      <c r="H1280" s="1">
        <v>0.09</v>
      </c>
      <c r="I1280" s="1" t="s">
        <v>35</v>
      </c>
    </row>
    <row r="1281" spans="1:9" x14ac:dyDescent="0.3">
      <c r="A1281" s="1" t="s">
        <v>1310</v>
      </c>
      <c r="B1281" s="1" t="s">
        <v>13</v>
      </c>
      <c r="C1281" s="2">
        <v>43311</v>
      </c>
      <c r="D1281" s="1" t="s">
        <v>32</v>
      </c>
      <c r="E1281" s="1">
        <v>23</v>
      </c>
      <c r="F1281" s="1">
        <v>150</v>
      </c>
      <c r="G1281" s="1">
        <v>3450</v>
      </c>
      <c r="H1281" s="1">
        <v>0.11</v>
      </c>
      <c r="I1281" s="1" t="s">
        <v>37</v>
      </c>
    </row>
    <row r="1282" spans="1:9" x14ac:dyDescent="0.3">
      <c r="A1282" s="1" t="s">
        <v>1311</v>
      </c>
      <c r="B1282" s="1" t="s">
        <v>9</v>
      </c>
      <c r="C1282" s="2">
        <v>43311</v>
      </c>
      <c r="D1282" s="1" t="s">
        <v>10</v>
      </c>
      <c r="E1282" s="1">
        <v>16</v>
      </c>
      <c r="F1282" s="1">
        <v>80</v>
      </c>
      <c r="G1282" s="1">
        <v>1280</v>
      </c>
      <c r="H1282" s="1">
        <v>0.03</v>
      </c>
      <c r="I1282" s="1" t="s">
        <v>39</v>
      </c>
    </row>
    <row r="1283" spans="1:9" x14ac:dyDescent="0.3">
      <c r="A1283" s="1" t="s">
        <v>1312</v>
      </c>
      <c r="B1283" s="1" t="s">
        <v>28</v>
      </c>
      <c r="C1283" s="2">
        <v>43311</v>
      </c>
      <c r="D1283" s="1" t="s">
        <v>32</v>
      </c>
      <c r="E1283" s="1">
        <v>15</v>
      </c>
      <c r="F1283" s="1">
        <v>150</v>
      </c>
      <c r="G1283" s="1">
        <v>2250</v>
      </c>
      <c r="H1283" s="1">
        <v>7.0000000000000007E-2</v>
      </c>
      <c r="I1283" s="1" t="s">
        <v>41</v>
      </c>
    </row>
    <row r="1284" spans="1:9" x14ac:dyDescent="0.3">
      <c r="A1284" s="1" t="s">
        <v>1313</v>
      </c>
      <c r="B1284" s="1" t="s">
        <v>9</v>
      </c>
      <c r="C1284" s="2">
        <v>43311</v>
      </c>
      <c r="D1284" s="1" t="s">
        <v>14</v>
      </c>
      <c r="E1284" s="1">
        <v>20</v>
      </c>
      <c r="F1284" s="1">
        <v>40</v>
      </c>
      <c r="G1284" s="1">
        <v>800</v>
      </c>
      <c r="H1284" s="1">
        <v>0.04</v>
      </c>
      <c r="I1284" s="1" t="s">
        <v>11</v>
      </c>
    </row>
    <row r="1285" spans="1:9" x14ac:dyDescent="0.3">
      <c r="A1285" s="1" t="s">
        <v>1314</v>
      </c>
      <c r="B1285" s="1" t="s">
        <v>22</v>
      </c>
      <c r="C1285" s="2">
        <v>43311</v>
      </c>
      <c r="D1285" s="1" t="s">
        <v>17</v>
      </c>
      <c r="E1285" s="1">
        <v>10</v>
      </c>
      <c r="F1285" s="1">
        <v>230</v>
      </c>
      <c r="G1285" s="1">
        <v>2300</v>
      </c>
      <c r="H1285" s="1">
        <v>0.02</v>
      </c>
      <c r="I1285" s="1" t="s">
        <v>15</v>
      </c>
    </row>
    <row r="1286" spans="1:9" x14ac:dyDescent="0.3">
      <c r="A1286" s="1" t="s">
        <v>1315</v>
      </c>
      <c r="B1286" s="1" t="s">
        <v>13</v>
      </c>
      <c r="C1286" s="2">
        <v>43311</v>
      </c>
      <c r="D1286" s="1" t="s">
        <v>10</v>
      </c>
      <c r="E1286" s="1">
        <v>9</v>
      </c>
      <c r="F1286" s="1">
        <v>80</v>
      </c>
      <c r="G1286" s="1">
        <v>720</v>
      </c>
      <c r="H1286" s="1">
        <v>0.03</v>
      </c>
      <c r="I1286" s="1" t="s">
        <v>18</v>
      </c>
    </row>
    <row r="1287" spans="1:9" x14ac:dyDescent="0.3">
      <c r="A1287" s="1" t="s">
        <v>1316</v>
      </c>
      <c r="B1287" s="1" t="s">
        <v>9</v>
      </c>
      <c r="C1287" s="2">
        <v>43311</v>
      </c>
      <c r="D1287" s="1" t="s">
        <v>17</v>
      </c>
      <c r="E1287" s="1">
        <v>16</v>
      </c>
      <c r="F1287" s="1">
        <v>230</v>
      </c>
      <c r="G1287" s="1">
        <v>3680</v>
      </c>
      <c r="H1287" s="1">
        <v>7.0000000000000007E-2</v>
      </c>
      <c r="I1287" s="1" t="s">
        <v>46</v>
      </c>
    </row>
    <row r="1288" spans="1:9" x14ac:dyDescent="0.3">
      <c r="A1288" s="1" t="s">
        <v>1317</v>
      </c>
      <c r="B1288" s="1" t="s">
        <v>13</v>
      </c>
      <c r="C1288" s="2">
        <v>43311</v>
      </c>
      <c r="D1288" s="1" t="s">
        <v>10</v>
      </c>
      <c r="E1288" s="1">
        <v>21</v>
      </c>
      <c r="F1288" s="1">
        <v>80</v>
      </c>
      <c r="G1288" s="1">
        <v>1680</v>
      </c>
      <c r="H1288" s="1">
        <v>0.04</v>
      </c>
      <c r="I1288" s="1" t="s">
        <v>23</v>
      </c>
    </row>
    <row r="1289" spans="1:9" x14ac:dyDescent="0.3">
      <c r="A1289" s="1" t="s">
        <v>1318</v>
      </c>
      <c r="B1289" s="1" t="s">
        <v>13</v>
      </c>
      <c r="C1289" s="2">
        <v>43311</v>
      </c>
      <c r="D1289" s="1" t="s">
        <v>10</v>
      </c>
      <c r="E1289" s="1">
        <v>9</v>
      </c>
      <c r="F1289" s="1">
        <v>80</v>
      </c>
      <c r="G1289" s="1">
        <v>720</v>
      </c>
      <c r="H1289" s="1">
        <v>0.03</v>
      </c>
      <c r="I1289" s="1" t="s">
        <v>26</v>
      </c>
    </row>
    <row r="1290" spans="1:9" x14ac:dyDescent="0.3">
      <c r="A1290" s="1" t="s">
        <v>1319</v>
      </c>
      <c r="B1290" s="1" t="s">
        <v>13</v>
      </c>
      <c r="C1290" s="2">
        <v>43311</v>
      </c>
      <c r="D1290" s="1" t="s">
        <v>14</v>
      </c>
      <c r="E1290" s="1">
        <v>4</v>
      </c>
      <c r="F1290" s="1">
        <v>40</v>
      </c>
      <c r="G1290" s="1">
        <v>160</v>
      </c>
      <c r="H1290" s="1">
        <v>0.12</v>
      </c>
      <c r="I1290" s="1" t="s">
        <v>15</v>
      </c>
    </row>
    <row r="1291" spans="1:9" x14ac:dyDescent="0.3">
      <c r="A1291" s="1" t="s">
        <v>1320</v>
      </c>
      <c r="B1291" s="1" t="s">
        <v>22</v>
      </c>
      <c r="C1291" s="2">
        <v>43311</v>
      </c>
      <c r="D1291" s="1" t="s">
        <v>17</v>
      </c>
      <c r="E1291" s="1">
        <v>5</v>
      </c>
      <c r="F1291" s="1">
        <v>230</v>
      </c>
      <c r="G1291" s="1">
        <v>1150</v>
      </c>
      <c r="H1291" s="1">
        <v>0.01</v>
      </c>
      <c r="I1291" s="1" t="s">
        <v>18</v>
      </c>
    </row>
    <row r="1292" spans="1:9" x14ac:dyDescent="0.3">
      <c r="A1292" s="1" t="s">
        <v>1321</v>
      </c>
      <c r="B1292" s="1" t="s">
        <v>9</v>
      </c>
      <c r="C1292" s="2">
        <v>43311</v>
      </c>
      <c r="D1292" s="1" t="s">
        <v>29</v>
      </c>
      <c r="E1292" s="1">
        <v>18</v>
      </c>
      <c r="F1292" s="1">
        <v>16</v>
      </c>
      <c r="G1292" s="1">
        <v>288</v>
      </c>
      <c r="H1292" s="1">
        <v>0.05</v>
      </c>
      <c r="I1292" s="1" t="s">
        <v>46</v>
      </c>
    </row>
    <row r="1293" spans="1:9" x14ac:dyDescent="0.3">
      <c r="A1293" s="1" t="s">
        <v>1322</v>
      </c>
      <c r="B1293" s="1" t="s">
        <v>22</v>
      </c>
      <c r="C1293" s="2">
        <v>43312</v>
      </c>
      <c r="D1293" s="1" t="s">
        <v>10</v>
      </c>
      <c r="E1293" s="1">
        <v>6</v>
      </c>
      <c r="F1293" s="1">
        <v>80</v>
      </c>
      <c r="G1293" s="1">
        <v>480</v>
      </c>
      <c r="H1293" s="1">
        <v>0.01</v>
      </c>
      <c r="I1293" s="1" t="s">
        <v>23</v>
      </c>
    </row>
    <row r="1294" spans="1:9" x14ac:dyDescent="0.3">
      <c r="A1294" s="1" t="s">
        <v>1323</v>
      </c>
      <c r="B1294" s="1" t="s">
        <v>28</v>
      </c>
      <c r="C1294" s="2">
        <v>43312</v>
      </c>
      <c r="D1294" s="1" t="s">
        <v>32</v>
      </c>
      <c r="E1294" s="1">
        <v>4</v>
      </c>
      <c r="F1294" s="1">
        <v>150</v>
      </c>
      <c r="G1294" s="1">
        <v>600</v>
      </c>
      <c r="H1294" s="1">
        <v>0.05</v>
      </c>
      <c r="I1294" s="1" t="s">
        <v>26</v>
      </c>
    </row>
    <row r="1295" spans="1:9" x14ac:dyDescent="0.3">
      <c r="A1295" s="1" t="s">
        <v>1324</v>
      </c>
      <c r="B1295" s="1" t="s">
        <v>28</v>
      </c>
      <c r="C1295" s="2">
        <v>43312</v>
      </c>
      <c r="D1295" s="1" t="s">
        <v>17</v>
      </c>
      <c r="E1295" s="1">
        <v>21</v>
      </c>
      <c r="F1295" s="1">
        <v>230</v>
      </c>
      <c r="G1295" s="1">
        <v>4830</v>
      </c>
      <c r="H1295" s="1">
        <v>0.05</v>
      </c>
      <c r="I1295" s="1" t="s">
        <v>30</v>
      </c>
    </row>
    <row r="1296" spans="1:9" x14ac:dyDescent="0.3">
      <c r="A1296" s="1" t="s">
        <v>1325</v>
      </c>
      <c r="B1296" s="1" t="s">
        <v>9</v>
      </c>
      <c r="C1296" s="2">
        <v>43312</v>
      </c>
      <c r="D1296" s="1" t="s">
        <v>32</v>
      </c>
      <c r="E1296" s="1">
        <v>4</v>
      </c>
      <c r="F1296" s="1">
        <v>150</v>
      </c>
      <c r="G1296" s="1">
        <v>600</v>
      </c>
      <c r="H1296" s="1">
        <v>0.06</v>
      </c>
      <c r="I1296" s="1" t="s">
        <v>33</v>
      </c>
    </row>
    <row r="1297" spans="1:9" x14ac:dyDescent="0.3">
      <c r="A1297" s="1" t="s">
        <v>1326</v>
      </c>
      <c r="B1297" s="1" t="s">
        <v>13</v>
      </c>
      <c r="C1297" s="2">
        <v>43312</v>
      </c>
      <c r="D1297" s="1" t="s">
        <v>10</v>
      </c>
      <c r="E1297" s="1">
        <v>2</v>
      </c>
      <c r="F1297" s="1">
        <v>80</v>
      </c>
      <c r="G1297" s="1">
        <v>160</v>
      </c>
      <c r="H1297" s="1">
        <v>0.04</v>
      </c>
      <c r="I1297" s="1" t="s">
        <v>35</v>
      </c>
    </row>
    <row r="1298" spans="1:9" x14ac:dyDescent="0.3">
      <c r="A1298" s="1" t="s">
        <v>1327</v>
      </c>
      <c r="B1298" s="1" t="s">
        <v>13</v>
      </c>
      <c r="C1298" s="2">
        <v>43312</v>
      </c>
      <c r="D1298" s="1" t="s">
        <v>29</v>
      </c>
      <c r="E1298" s="1">
        <v>5</v>
      </c>
      <c r="F1298" s="1">
        <v>16</v>
      </c>
      <c r="G1298" s="1">
        <v>80</v>
      </c>
      <c r="H1298" s="1">
        <v>0.11</v>
      </c>
      <c r="I1298" s="1" t="s">
        <v>37</v>
      </c>
    </row>
    <row r="1299" spans="1:9" x14ac:dyDescent="0.3">
      <c r="A1299" s="1" t="s">
        <v>1328</v>
      </c>
      <c r="B1299" s="1" t="s">
        <v>28</v>
      </c>
      <c r="C1299" s="2">
        <v>43312</v>
      </c>
      <c r="D1299" s="1" t="s">
        <v>32</v>
      </c>
      <c r="E1299" s="1">
        <v>23</v>
      </c>
      <c r="F1299" s="1">
        <v>150</v>
      </c>
      <c r="G1299" s="1">
        <v>3450</v>
      </c>
      <c r="H1299" s="1">
        <v>0.08</v>
      </c>
      <c r="I1299" s="1" t="s">
        <v>39</v>
      </c>
    </row>
    <row r="1300" spans="1:9" x14ac:dyDescent="0.3">
      <c r="A1300" s="1" t="s">
        <v>1329</v>
      </c>
      <c r="B1300" s="1" t="s">
        <v>13</v>
      </c>
      <c r="C1300" s="2">
        <v>43312</v>
      </c>
      <c r="D1300" s="1" t="s">
        <v>10</v>
      </c>
      <c r="E1300" s="1">
        <v>3</v>
      </c>
      <c r="F1300" s="1">
        <v>80</v>
      </c>
      <c r="G1300" s="1">
        <v>240</v>
      </c>
      <c r="H1300" s="1">
        <v>0.02</v>
      </c>
      <c r="I1300" s="1" t="s">
        <v>41</v>
      </c>
    </row>
    <row r="1301" spans="1:9" x14ac:dyDescent="0.3">
      <c r="A1301" s="1" t="s">
        <v>1330</v>
      </c>
      <c r="B1301" s="1" t="s">
        <v>28</v>
      </c>
      <c r="C1301" s="2">
        <v>43312</v>
      </c>
      <c r="D1301" s="1" t="s">
        <v>17</v>
      </c>
      <c r="E1301" s="1">
        <v>17</v>
      </c>
      <c r="F1301" s="1">
        <v>230</v>
      </c>
      <c r="G1301" s="1">
        <v>3910</v>
      </c>
      <c r="H1301" s="1">
        <v>0.11</v>
      </c>
      <c r="I1301" s="1" t="s">
        <v>11</v>
      </c>
    </row>
    <row r="1302" spans="1:9" x14ac:dyDescent="0.3">
      <c r="A1302" s="1" t="s">
        <v>1331</v>
      </c>
      <c r="B1302" s="1" t="s">
        <v>22</v>
      </c>
      <c r="C1302" s="2">
        <v>43312</v>
      </c>
      <c r="D1302" s="1" t="s">
        <v>14</v>
      </c>
      <c r="E1302" s="1">
        <v>11</v>
      </c>
      <c r="F1302" s="1">
        <v>40</v>
      </c>
      <c r="G1302" s="1">
        <v>440</v>
      </c>
      <c r="H1302" s="1">
        <v>0.05</v>
      </c>
      <c r="I1302" s="1" t="s">
        <v>15</v>
      </c>
    </row>
    <row r="1303" spans="1:9" x14ac:dyDescent="0.3">
      <c r="A1303" s="1" t="s">
        <v>1332</v>
      </c>
      <c r="B1303" s="1" t="s">
        <v>9</v>
      </c>
      <c r="C1303" s="2">
        <v>43312</v>
      </c>
      <c r="D1303" s="1" t="s">
        <v>17</v>
      </c>
      <c r="E1303" s="1">
        <v>7</v>
      </c>
      <c r="F1303" s="1">
        <v>230</v>
      </c>
      <c r="G1303" s="1">
        <v>1610</v>
      </c>
      <c r="H1303" s="1">
        <v>0.02</v>
      </c>
      <c r="I1303" s="1" t="s">
        <v>18</v>
      </c>
    </row>
    <row r="1304" spans="1:9" x14ac:dyDescent="0.3">
      <c r="A1304" s="1" t="s">
        <v>1333</v>
      </c>
      <c r="B1304" s="1" t="s">
        <v>22</v>
      </c>
      <c r="C1304" s="2">
        <v>43312</v>
      </c>
      <c r="D1304" s="1" t="s">
        <v>14</v>
      </c>
      <c r="E1304" s="1">
        <v>13</v>
      </c>
      <c r="F1304" s="1">
        <v>40</v>
      </c>
      <c r="G1304" s="1">
        <v>520</v>
      </c>
      <c r="H1304" s="1">
        <v>0.02</v>
      </c>
      <c r="I1304" s="1" t="s">
        <v>46</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6EEB4-A3D9-4CFE-9A14-1DA0C3CB7F28}">
  <dimension ref="A1:L37"/>
  <sheetViews>
    <sheetView topLeftCell="A18" workbookViewId="0">
      <selection activeCell="A5" sqref="A5:B5"/>
    </sheetView>
  </sheetViews>
  <sheetFormatPr defaultRowHeight="14.4" x14ac:dyDescent="0.3"/>
  <cols>
    <col min="1" max="1" width="12.44140625" bestFit="1" customWidth="1"/>
    <col min="2" max="3" width="14.21875" bestFit="1" customWidth="1"/>
    <col min="4" max="4" width="12.44140625" bestFit="1" customWidth="1"/>
    <col min="5" max="5" width="18.21875" bestFit="1" customWidth="1"/>
    <col min="8" max="8" width="12.44140625" bestFit="1" customWidth="1"/>
    <col min="9" max="10" width="18.21875" bestFit="1" customWidth="1"/>
    <col min="11" max="11" width="12.44140625" bestFit="1" customWidth="1"/>
    <col min="12" max="12" width="18.21875" bestFit="1" customWidth="1"/>
  </cols>
  <sheetData>
    <row r="1" spans="1:12" x14ac:dyDescent="0.3">
      <c r="A1" t="s">
        <v>1334</v>
      </c>
      <c r="C1" t="s">
        <v>1336</v>
      </c>
      <c r="E1" t="s">
        <v>1338</v>
      </c>
      <c r="G1" t="s">
        <v>1340</v>
      </c>
      <c r="I1" t="s">
        <v>1341</v>
      </c>
      <c r="K1" t="s">
        <v>1343</v>
      </c>
    </row>
    <row r="3" spans="1:12" x14ac:dyDescent="0.3">
      <c r="A3" t="s">
        <v>1335</v>
      </c>
      <c r="C3" t="s">
        <v>1337</v>
      </c>
      <c r="E3" t="s">
        <v>1339</v>
      </c>
      <c r="G3">
        <f>GETPIVOTDATA("Commission",$E$3)/GETPIVOTDATA("Total revenue",$A$3)*100</f>
        <v>2.5000000000000001E-2</v>
      </c>
      <c r="I3" t="s">
        <v>1337</v>
      </c>
      <c r="K3" s="3" t="s">
        <v>1344</v>
      </c>
    </row>
    <row r="4" spans="1:12" x14ac:dyDescent="0.3">
      <c r="A4">
        <v>240</v>
      </c>
      <c r="C4">
        <v>6</v>
      </c>
      <c r="E4">
        <v>0.06</v>
      </c>
      <c r="I4">
        <v>6</v>
      </c>
      <c r="K4" s="4" t="s">
        <v>14</v>
      </c>
      <c r="L4" s="1">
        <f>COUNTA(K4:K8)</f>
        <v>2</v>
      </c>
    </row>
    <row r="5" spans="1:12" x14ac:dyDescent="0.3">
      <c r="K5" s="4" t="s">
        <v>1345</v>
      </c>
    </row>
    <row r="9" spans="1:12" x14ac:dyDescent="0.3">
      <c r="A9" t="s">
        <v>1342</v>
      </c>
    </row>
    <row r="11" spans="1:12" x14ac:dyDescent="0.3">
      <c r="A11" s="3" t="s">
        <v>1344</v>
      </c>
      <c r="B11" t="s">
        <v>1337</v>
      </c>
    </row>
    <row r="12" spans="1:12" x14ac:dyDescent="0.3">
      <c r="A12" s="4" t="s">
        <v>14</v>
      </c>
      <c r="B12">
        <v>6</v>
      </c>
      <c r="C12">
        <f>GETPIVOTDATA("Quantity",$A$11,"Item","White Board")</f>
        <v>6</v>
      </c>
    </row>
    <row r="13" spans="1:12" x14ac:dyDescent="0.3">
      <c r="A13" s="4" t="s">
        <v>1345</v>
      </c>
      <c r="B13">
        <v>6</v>
      </c>
    </row>
    <row r="19" spans="1:12" ht="15.6" x14ac:dyDescent="0.3">
      <c r="A19" s="13" t="s">
        <v>1346</v>
      </c>
      <c r="B19" s="13"/>
      <c r="C19" s="13"/>
      <c r="D19" s="13"/>
      <c r="E19" s="13"/>
      <c r="F19" s="13"/>
      <c r="G19" s="13"/>
      <c r="H19" s="13"/>
      <c r="I19" s="13"/>
      <c r="J19" s="13"/>
      <c r="K19" s="13"/>
      <c r="L19" s="13"/>
    </row>
    <row r="21" spans="1:12" x14ac:dyDescent="0.3">
      <c r="A21" t="s">
        <v>1347</v>
      </c>
      <c r="D21" t="s">
        <v>1348</v>
      </c>
      <c r="H21" t="s">
        <v>1349</v>
      </c>
      <c r="K21" t="s">
        <v>1350</v>
      </c>
    </row>
    <row r="23" spans="1:12" x14ac:dyDescent="0.3">
      <c r="A23" s="3" t="s">
        <v>1344</v>
      </c>
      <c r="B23" t="s">
        <v>1335</v>
      </c>
      <c r="D23" s="3" t="s">
        <v>1344</v>
      </c>
      <c r="E23" t="s">
        <v>1335</v>
      </c>
      <c r="H23" s="3" t="s">
        <v>1344</v>
      </c>
      <c r="I23" t="s">
        <v>1335</v>
      </c>
      <c r="K23" s="3" t="s">
        <v>1344</v>
      </c>
      <c r="L23" t="s">
        <v>1335</v>
      </c>
    </row>
    <row r="24" spans="1:12" x14ac:dyDescent="0.3">
      <c r="A24" s="5">
        <v>43288</v>
      </c>
      <c r="B24">
        <v>240</v>
      </c>
      <c r="D24" s="4" t="s">
        <v>22</v>
      </c>
      <c r="E24">
        <v>240</v>
      </c>
      <c r="H24" s="4" t="s">
        <v>14</v>
      </c>
      <c r="I24">
        <v>240</v>
      </c>
      <c r="K24" s="4" t="s">
        <v>41</v>
      </c>
      <c r="L24">
        <v>240</v>
      </c>
    </row>
    <row r="25" spans="1:12" x14ac:dyDescent="0.3">
      <c r="A25" s="5" t="s">
        <v>1345</v>
      </c>
      <c r="B25">
        <v>240</v>
      </c>
      <c r="D25" s="4" t="s">
        <v>1345</v>
      </c>
      <c r="E25">
        <v>240</v>
      </c>
      <c r="H25" s="4" t="s">
        <v>1345</v>
      </c>
      <c r="I25">
        <v>240</v>
      </c>
      <c r="K25" s="4" t="s">
        <v>1345</v>
      </c>
      <c r="L25">
        <v>240</v>
      </c>
    </row>
    <row r="33" spans="4:5" x14ac:dyDescent="0.3">
      <c r="D33" t="s">
        <v>1351</v>
      </c>
    </row>
    <row r="35" spans="4:5" x14ac:dyDescent="0.3">
      <c r="D35" s="3" t="s">
        <v>1344</v>
      </c>
      <c r="E35" t="s">
        <v>1339</v>
      </c>
    </row>
    <row r="36" spans="4:5" x14ac:dyDescent="0.3">
      <c r="D36" s="4" t="s">
        <v>22</v>
      </c>
      <c r="E36">
        <v>0.06</v>
      </c>
    </row>
    <row r="37" spans="4:5" x14ac:dyDescent="0.3">
      <c r="D37" s="4" t="s">
        <v>1345</v>
      </c>
      <c r="E37">
        <v>0.06</v>
      </c>
    </row>
  </sheetData>
  <mergeCells count="1">
    <mergeCell ref="A19:L19"/>
  </mergeCells>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F6382-98B4-4C85-A411-902B5902CFEE}">
  <dimension ref="A1:R1"/>
  <sheetViews>
    <sheetView workbookViewId="0">
      <selection activeCell="M25" sqref="M25"/>
    </sheetView>
  </sheetViews>
  <sheetFormatPr defaultRowHeight="14.4" x14ac:dyDescent="0.3"/>
  <sheetData>
    <row r="1" spans="1:18" ht="18" x14ac:dyDescent="0.35">
      <c r="A1" s="14" t="s">
        <v>1355</v>
      </c>
      <c r="B1" s="14"/>
      <c r="C1" s="14"/>
      <c r="D1" s="14"/>
      <c r="E1" s="14"/>
      <c r="F1" s="14"/>
      <c r="G1" s="14"/>
      <c r="H1" s="14"/>
      <c r="I1" s="14"/>
      <c r="J1" s="14"/>
      <c r="K1" s="14"/>
      <c r="L1" s="14"/>
      <c r="M1" s="14"/>
      <c r="N1" s="14"/>
      <c r="O1" s="14"/>
      <c r="P1" s="14"/>
      <c r="Q1" s="14"/>
      <c r="R1" s="14"/>
    </row>
  </sheetData>
  <mergeCells count="1">
    <mergeCell ref="A1:R1"/>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88AF-42EA-4977-A8C4-DD2CEBC3CE0B}">
  <dimension ref="A1:FM89"/>
  <sheetViews>
    <sheetView zoomScale="80" zoomScaleNormal="95" workbookViewId="0">
      <selection activeCell="AB26" sqref="AB26"/>
    </sheetView>
  </sheetViews>
  <sheetFormatPr defaultRowHeight="14.4" x14ac:dyDescent="0.3"/>
  <sheetData>
    <row r="1" spans="1:169" ht="14.4" customHeight="1" x14ac:dyDescent="0.3">
      <c r="A1" s="9" t="s">
        <v>1352</v>
      </c>
      <c r="B1" s="9"/>
      <c r="C1" s="9"/>
      <c r="D1" s="9"/>
      <c r="E1" s="9"/>
      <c r="F1" s="9"/>
      <c r="G1" s="9"/>
      <c r="H1" s="9"/>
      <c r="I1" s="9"/>
      <c r="J1" s="9"/>
      <c r="K1" s="9"/>
      <c r="L1" s="9"/>
      <c r="M1" s="9"/>
      <c r="N1" s="9"/>
      <c r="O1" s="9"/>
      <c r="P1" s="9"/>
      <c r="Q1" s="9"/>
      <c r="R1" s="9"/>
      <c r="S1" s="9"/>
      <c r="T1" s="9"/>
      <c r="U1" s="9"/>
      <c r="V1" s="9"/>
      <c r="W1" s="9"/>
      <c r="X1" s="9"/>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c r="BJ1" s="6"/>
      <c r="BK1" s="6"/>
      <c r="BL1" s="6"/>
      <c r="BM1" s="6"/>
      <c r="BN1" s="6"/>
      <c r="BO1" s="6"/>
      <c r="BP1" s="6"/>
      <c r="BQ1" s="6"/>
      <c r="BR1" s="6"/>
      <c r="BS1" s="6"/>
      <c r="BT1" s="6"/>
      <c r="BU1" s="6"/>
      <c r="BV1" s="6"/>
      <c r="BW1" s="6"/>
      <c r="BX1" s="6"/>
      <c r="BY1" s="6"/>
      <c r="BZ1" s="6"/>
      <c r="CA1" s="6"/>
      <c r="CB1" s="6"/>
      <c r="CC1" s="6"/>
      <c r="CD1" s="6"/>
      <c r="CE1" s="6"/>
      <c r="CF1" s="6"/>
      <c r="CG1" s="6"/>
      <c r="CH1" s="6"/>
      <c r="CI1" s="6"/>
      <c r="CJ1" s="6"/>
      <c r="CK1" s="6"/>
      <c r="CL1" s="6"/>
      <c r="CM1" s="6"/>
      <c r="CN1" s="6"/>
      <c r="CO1" s="6"/>
      <c r="CP1" s="6"/>
      <c r="CQ1" s="6"/>
      <c r="CR1" s="6"/>
      <c r="CS1" s="6"/>
      <c r="CT1" s="6"/>
      <c r="CU1" s="6"/>
      <c r="CV1" s="6"/>
      <c r="CW1" s="6"/>
      <c r="CX1" s="6"/>
      <c r="CY1" s="6"/>
      <c r="CZ1" s="6"/>
      <c r="DA1" s="6"/>
      <c r="DB1" s="6"/>
      <c r="DC1" s="6"/>
      <c r="DD1" s="6"/>
      <c r="DE1" s="6"/>
      <c r="DF1" s="6"/>
      <c r="DG1" s="6"/>
      <c r="DH1" s="6"/>
      <c r="DI1" s="6"/>
      <c r="DJ1" s="6"/>
      <c r="DK1" s="6"/>
      <c r="DL1" s="6"/>
      <c r="DM1" s="6"/>
      <c r="DN1" s="6"/>
      <c r="DO1" s="6"/>
      <c r="DP1" s="6"/>
      <c r="DQ1" s="6"/>
      <c r="DR1" s="6"/>
      <c r="DS1" s="6"/>
      <c r="DT1" s="6"/>
      <c r="DU1" s="6"/>
      <c r="DV1" s="6"/>
      <c r="DW1" s="6"/>
      <c r="DX1" s="6"/>
      <c r="DY1" s="6"/>
      <c r="DZ1" s="6"/>
      <c r="EA1" s="6"/>
      <c r="EB1" s="6"/>
      <c r="EC1" s="6"/>
      <c r="ED1" s="6"/>
      <c r="EE1" s="6"/>
      <c r="EF1" s="6"/>
      <c r="EG1" s="6"/>
      <c r="EH1" s="6"/>
      <c r="EI1" s="6"/>
      <c r="EJ1" s="6"/>
      <c r="EK1" s="6"/>
      <c r="EL1" s="6"/>
      <c r="EM1" s="6"/>
      <c r="EN1" s="6"/>
      <c r="EO1" s="6"/>
      <c r="EP1" s="6"/>
      <c r="EQ1" s="6"/>
      <c r="ER1" s="6"/>
      <c r="ES1" s="6"/>
      <c r="ET1" s="6"/>
      <c r="EU1" s="6"/>
      <c r="EV1" s="6"/>
      <c r="EW1" s="6"/>
      <c r="EX1" s="6"/>
      <c r="EY1" s="6"/>
      <c r="EZ1" s="6"/>
      <c r="FA1" s="6"/>
      <c r="FB1" s="6"/>
      <c r="FC1" s="6"/>
      <c r="FD1" s="6"/>
      <c r="FE1" s="6"/>
      <c r="FF1" s="6"/>
      <c r="FG1" s="6"/>
      <c r="FH1" s="6"/>
      <c r="FI1" s="6"/>
      <c r="FJ1" s="6"/>
      <c r="FK1" s="6"/>
      <c r="FL1" s="6"/>
      <c r="FM1" s="6"/>
    </row>
    <row r="2" spans="1:169" ht="14.4" customHeight="1" x14ac:dyDescent="0.3">
      <c r="A2" s="9"/>
      <c r="B2" s="9"/>
      <c r="C2" s="9"/>
      <c r="D2" s="9"/>
      <c r="E2" s="9"/>
      <c r="F2" s="9"/>
      <c r="G2" s="9"/>
      <c r="H2" s="9"/>
      <c r="I2" s="9"/>
      <c r="J2" s="9"/>
      <c r="K2" s="9"/>
      <c r="L2" s="9"/>
      <c r="M2" s="9"/>
      <c r="N2" s="9"/>
      <c r="O2" s="9"/>
      <c r="P2" s="9"/>
      <c r="Q2" s="9"/>
      <c r="R2" s="9"/>
      <c r="S2" s="9"/>
      <c r="T2" s="9"/>
      <c r="U2" s="9"/>
      <c r="V2" s="9"/>
      <c r="W2" s="9"/>
      <c r="X2" s="9"/>
      <c r="Y2" s="6"/>
      <c r="Z2" s="6"/>
      <c r="AA2" s="6"/>
      <c r="AB2" s="6"/>
      <c r="AC2" s="6"/>
      <c r="AD2" s="6"/>
      <c r="AE2" s="6"/>
      <c r="AF2" s="6"/>
      <c r="AG2" s="6"/>
      <c r="AH2" s="6"/>
      <c r="AI2" s="6"/>
      <c r="AJ2" s="6"/>
      <c r="AK2" s="6"/>
      <c r="AL2" s="6"/>
      <c r="AM2" s="6"/>
      <c r="AN2" s="6"/>
      <c r="AO2" s="6"/>
      <c r="AP2" s="6"/>
      <c r="AQ2" s="6"/>
      <c r="AR2" s="6"/>
      <c r="AS2" s="6"/>
      <c r="AT2" s="6"/>
      <c r="AU2" s="6"/>
      <c r="AV2" s="6"/>
      <c r="AW2" s="6"/>
      <c r="AX2" s="6"/>
      <c r="AY2" s="6"/>
      <c r="AZ2" s="6"/>
      <c r="BA2" s="6"/>
      <c r="BB2" s="6"/>
      <c r="BC2" s="6"/>
      <c r="BD2" s="6"/>
      <c r="BE2" s="6"/>
      <c r="BF2" s="6"/>
      <c r="BG2" s="6"/>
      <c r="BH2" s="6"/>
      <c r="BI2" s="6"/>
      <c r="BJ2" s="6"/>
      <c r="BK2" s="6"/>
      <c r="BL2" s="6"/>
      <c r="BM2" s="6"/>
      <c r="BN2" s="6"/>
      <c r="BO2" s="6"/>
      <c r="BP2" s="6"/>
      <c r="BQ2" s="6"/>
      <c r="BR2" s="6"/>
      <c r="BS2" s="6"/>
      <c r="BT2" s="6"/>
      <c r="BU2" s="6"/>
      <c r="BV2" s="6"/>
      <c r="BW2" s="6"/>
      <c r="BX2" s="6"/>
      <c r="BY2" s="6"/>
      <c r="BZ2" s="6"/>
      <c r="CA2" s="6"/>
      <c r="CB2" s="6"/>
      <c r="CC2" s="6"/>
      <c r="CD2" s="6"/>
      <c r="CE2" s="6"/>
      <c r="CF2" s="6"/>
      <c r="CG2" s="6"/>
      <c r="CH2" s="6"/>
      <c r="CI2" s="6"/>
      <c r="CJ2" s="6"/>
      <c r="CK2" s="6"/>
      <c r="CL2" s="6"/>
      <c r="CM2" s="6"/>
      <c r="CN2" s="6"/>
      <c r="CO2" s="6"/>
      <c r="CP2" s="6"/>
      <c r="CQ2" s="6"/>
      <c r="CR2" s="6"/>
      <c r="CS2" s="6"/>
      <c r="CT2" s="6"/>
      <c r="CU2" s="6"/>
      <c r="CV2" s="6"/>
      <c r="CW2" s="6"/>
      <c r="CX2" s="6"/>
      <c r="CY2" s="6"/>
      <c r="CZ2" s="6"/>
      <c r="DA2" s="6"/>
      <c r="DB2" s="6"/>
      <c r="DC2" s="6"/>
      <c r="DD2" s="6"/>
      <c r="DE2" s="6"/>
      <c r="DF2" s="6"/>
      <c r="DG2" s="6"/>
      <c r="DH2" s="6"/>
      <c r="DI2" s="6"/>
      <c r="DJ2" s="6"/>
      <c r="DK2" s="6"/>
      <c r="DL2" s="6"/>
      <c r="DM2" s="6"/>
      <c r="DN2" s="6"/>
      <c r="DO2" s="6"/>
      <c r="DP2" s="6"/>
      <c r="DQ2" s="6"/>
      <c r="DR2" s="6"/>
      <c r="DS2" s="6"/>
      <c r="DT2" s="6"/>
      <c r="DU2" s="6"/>
      <c r="DV2" s="6"/>
      <c r="DW2" s="6"/>
      <c r="DX2" s="6"/>
      <c r="DY2" s="6"/>
      <c r="DZ2" s="6"/>
      <c r="EA2" s="6"/>
      <c r="EB2" s="6"/>
      <c r="EC2" s="6"/>
      <c r="ED2" s="6"/>
      <c r="EE2" s="6"/>
      <c r="EF2" s="6"/>
      <c r="EG2" s="6"/>
      <c r="EH2" s="6"/>
      <c r="EI2" s="6"/>
      <c r="EJ2" s="6"/>
      <c r="EK2" s="6"/>
      <c r="EL2" s="6"/>
      <c r="EM2" s="6"/>
      <c r="EN2" s="6"/>
      <c r="EO2" s="6"/>
      <c r="EP2" s="6"/>
      <c r="EQ2" s="6"/>
      <c r="ER2" s="6"/>
      <c r="ES2" s="6"/>
      <c r="ET2" s="6"/>
      <c r="EU2" s="6"/>
      <c r="EV2" s="6"/>
      <c r="EW2" s="6"/>
      <c r="EX2" s="6"/>
      <c r="EY2" s="6"/>
      <c r="EZ2" s="6"/>
      <c r="FA2" s="6"/>
      <c r="FB2" s="6"/>
      <c r="FC2" s="6"/>
      <c r="FD2" s="6"/>
      <c r="FE2" s="6"/>
      <c r="FF2" s="6"/>
      <c r="FG2" s="6"/>
      <c r="FH2" s="6"/>
      <c r="FI2" s="6"/>
      <c r="FJ2" s="6"/>
      <c r="FK2" s="6"/>
      <c r="FL2" s="6"/>
      <c r="FM2" s="6"/>
    </row>
    <row r="3" spans="1:169" x14ac:dyDescent="0.3">
      <c r="A3" s="6"/>
      <c r="B3" s="6"/>
      <c r="C3" s="6"/>
      <c r="D3" s="6"/>
      <c r="E3" s="6"/>
      <c r="F3" s="6"/>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c r="AO3" s="6"/>
      <c r="AP3" s="6"/>
      <c r="AQ3" s="6"/>
      <c r="AR3" s="6"/>
      <c r="AS3" s="6"/>
      <c r="AT3" s="6"/>
      <c r="AU3" s="6"/>
      <c r="AV3" s="6"/>
      <c r="AW3" s="6"/>
      <c r="AX3" s="6"/>
      <c r="AY3" s="6"/>
      <c r="AZ3" s="6"/>
      <c r="BA3" s="6"/>
      <c r="BB3" s="6"/>
      <c r="BC3" s="6"/>
      <c r="BD3" s="6"/>
      <c r="BE3" s="6"/>
      <c r="BF3" s="6"/>
      <c r="BG3" s="6"/>
      <c r="BH3" s="6"/>
      <c r="BI3" s="6"/>
      <c r="BJ3" s="6"/>
      <c r="BK3" s="6"/>
      <c r="BL3" s="6"/>
      <c r="BM3" s="6"/>
      <c r="BN3" s="6"/>
      <c r="BO3" s="6"/>
      <c r="BP3" s="6"/>
      <c r="BQ3" s="6"/>
      <c r="BR3" s="6"/>
      <c r="BS3" s="6"/>
      <c r="BT3" s="6"/>
      <c r="BU3" s="6"/>
      <c r="BV3" s="6"/>
      <c r="BW3" s="6"/>
      <c r="BX3" s="6"/>
      <c r="BY3" s="6"/>
      <c r="BZ3" s="6"/>
      <c r="CA3" s="6"/>
      <c r="CB3" s="6"/>
      <c r="CC3" s="6"/>
      <c r="CD3" s="6"/>
      <c r="CE3" s="6"/>
      <c r="CF3" s="6"/>
      <c r="CG3" s="6"/>
      <c r="CH3" s="6"/>
      <c r="CI3" s="6"/>
      <c r="CJ3" s="6"/>
      <c r="CK3" s="6"/>
      <c r="CL3" s="6"/>
      <c r="CM3" s="6"/>
      <c r="CN3" s="6"/>
      <c r="CO3" s="6"/>
      <c r="CP3" s="6"/>
      <c r="CQ3" s="6"/>
      <c r="CR3" s="6"/>
      <c r="CS3" s="6"/>
      <c r="CT3" s="6"/>
      <c r="CU3" s="6"/>
      <c r="CV3" s="6"/>
      <c r="CW3" s="6"/>
      <c r="CX3" s="6"/>
      <c r="CY3" s="6"/>
      <c r="CZ3" s="6"/>
      <c r="DA3" s="6"/>
      <c r="DB3" s="6"/>
      <c r="DC3" s="6"/>
      <c r="DD3" s="6"/>
      <c r="DE3" s="6"/>
      <c r="DF3" s="6"/>
      <c r="DG3" s="6"/>
      <c r="DH3" s="6"/>
      <c r="DI3" s="6"/>
      <c r="DJ3" s="6"/>
      <c r="DK3" s="6"/>
      <c r="DL3" s="6"/>
      <c r="DM3" s="6"/>
      <c r="DN3" s="6"/>
      <c r="DO3" s="6"/>
      <c r="DP3" s="6"/>
      <c r="DQ3" s="6"/>
      <c r="DR3" s="6"/>
      <c r="DS3" s="6"/>
      <c r="DT3" s="6"/>
      <c r="DU3" s="6"/>
      <c r="DV3" s="6"/>
      <c r="DW3" s="6"/>
      <c r="DX3" s="6"/>
      <c r="DY3" s="6"/>
      <c r="DZ3" s="6"/>
      <c r="EA3" s="6"/>
      <c r="EB3" s="6"/>
      <c r="EC3" s="6"/>
      <c r="ED3" s="6"/>
      <c r="EE3" s="6"/>
      <c r="EF3" s="6"/>
      <c r="EG3" s="6"/>
      <c r="EH3" s="6"/>
      <c r="EI3" s="6"/>
      <c r="EJ3" s="6"/>
      <c r="EK3" s="6"/>
      <c r="EL3" s="6"/>
      <c r="EM3" s="6"/>
      <c r="EN3" s="6"/>
      <c r="EO3" s="6"/>
      <c r="EP3" s="6"/>
      <c r="EQ3" s="6"/>
      <c r="ER3" s="6"/>
      <c r="ES3" s="6"/>
      <c r="ET3" s="6"/>
      <c r="EU3" s="6"/>
      <c r="EV3" s="6"/>
      <c r="EW3" s="6"/>
      <c r="EX3" s="6"/>
      <c r="EY3" s="6"/>
      <c r="EZ3" s="6"/>
      <c r="FA3" s="6"/>
      <c r="FB3" s="6"/>
      <c r="FC3" s="6"/>
      <c r="FD3" s="6"/>
      <c r="FE3" s="6"/>
      <c r="FF3" s="6"/>
      <c r="FG3" s="6"/>
      <c r="FH3" s="6"/>
      <c r="FI3" s="6"/>
      <c r="FJ3" s="6"/>
      <c r="FK3" s="6"/>
      <c r="FL3" s="6"/>
      <c r="FM3" s="6"/>
    </row>
    <row r="4" spans="1:169" x14ac:dyDescent="0.3">
      <c r="A4" s="10" t="s">
        <v>1334</v>
      </c>
      <c r="B4" s="11"/>
      <c r="C4" s="6"/>
      <c r="D4" s="10" t="s">
        <v>1336</v>
      </c>
      <c r="E4" s="10"/>
      <c r="F4" s="6"/>
      <c r="G4" s="12" t="s">
        <v>1338</v>
      </c>
      <c r="H4" s="12"/>
      <c r="I4" s="6"/>
      <c r="J4" s="10" t="s">
        <v>1340</v>
      </c>
      <c r="K4" s="10"/>
      <c r="L4" s="6"/>
      <c r="M4" s="10" t="s">
        <v>1353</v>
      </c>
      <c r="N4" s="10"/>
      <c r="O4" s="6"/>
      <c r="P4" s="10" t="s">
        <v>1354</v>
      </c>
      <c r="Q4" s="10"/>
      <c r="R4" s="6"/>
      <c r="S4" s="6"/>
      <c r="T4" s="6"/>
      <c r="U4" s="6"/>
      <c r="V4" s="6"/>
      <c r="W4" s="6"/>
      <c r="X4" s="6"/>
      <c r="Y4" s="6"/>
      <c r="Z4" s="6"/>
      <c r="AA4" s="6"/>
      <c r="AB4" s="6"/>
      <c r="AC4" s="6"/>
      <c r="AD4" s="6"/>
      <c r="AE4" s="6"/>
      <c r="AF4" s="6"/>
      <c r="AG4" s="6"/>
      <c r="AH4" s="6"/>
      <c r="AI4" s="6"/>
      <c r="AJ4" s="6"/>
      <c r="AK4" s="6"/>
      <c r="AL4" s="6"/>
      <c r="AM4" s="6"/>
      <c r="AN4" s="6"/>
      <c r="AO4" s="6"/>
      <c r="AP4" s="6"/>
      <c r="AQ4" s="6"/>
      <c r="AR4" s="6"/>
      <c r="AS4" s="6"/>
      <c r="AT4" s="6"/>
      <c r="AU4" s="6"/>
      <c r="AV4" s="6"/>
      <c r="AW4" s="6"/>
      <c r="AX4" s="6"/>
      <c r="AY4" s="6"/>
      <c r="AZ4" s="6"/>
      <c r="BA4" s="6"/>
      <c r="BB4" s="6"/>
      <c r="BC4" s="6"/>
      <c r="BD4" s="6"/>
      <c r="BE4" s="6"/>
      <c r="BF4" s="6"/>
      <c r="BG4" s="6"/>
      <c r="BH4" s="6"/>
      <c r="BI4" s="6"/>
      <c r="BJ4" s="6"/>
      <c r="BK4" s="6"/>
      <c r="BL4" s="6"/>
      <c r="BM4" s="6"/>
      <c r="BN4" s="6"/>
      <c r="BO4" s="6"/>
      <c r="BP4" s="6"/>
      <c r="BQ4" s="6"/>
      <c r="BR4" s="6"/>
      <c r="BS4" s="6"/>
      <c r="BT4" s="6"/>
      <c r="BU4" s="6"/>
      <c r="BV4" s="6"/>
      <c r="BW4" s="6"/>
      <c r="BX4" s="6"/>
      <c r="BY4" s="6"/>
      <c r="BZ4" s="6"/>
      <c r="CA4" s="6"/>
      <c r="CB4" s="6"/>
      <c r="CC4" s="6"/>
      <c r="CD4" s="6"/>
      <c r="CE4" s="6"/>
      <c r="CF4" s="6"/>
      <c r="CG4" s="6"/>
      <c r="CH4" s="6"/>
      <c r="CI4" s="6"/>
      <c r="CJ4" s="6"/>
      <c r="CK4" s="6"/>
      <c r="CL4" s="6"/>
      <c r="CM4" s="6"/>
      <c r="CN4" s="6"/>
      <c r="CO4" s="6"/>
      <c r="CP4" s="6"/>
      <c r="CQ4" s="6"/>
      <c r="CR4" s="6"/>
      <c r="CS4" s="6"/>
      <c r="CT4" s="6"/>
      <c r="CU4" s="6"/>
      <c r="CV4" s="6"/>
      <c r="CW4" s="6"/>
      <c r="CX4" s="6"/>
      <c r="CY4" s="6"/>
      <c r="CZ4" s="6"/>
      <c r="DA4" s="6"/>
      <c r="DB4" s="6"/>
      <c r="DC4" s="6"/>
      <c r="DD4" s="6"/>
      <c r="DE4" s="6"/>
      <c r="DF4" s="6"/>
      <c r="DG4" s="6"/>
      <c r="DH4" s="6"/>
      <c r="DI4" s="6"/>
      <c r="DJ4" s="6"/>
      <c r="DK4" s="6"/>
      <c r="DL4" s="6"/>
      <c r="DM4" s="6"/>
      <c r="DN4" s="6"/>
      <c r="DO4" s="6"/>
      <c r="DP4" s="6"/>
      <c r="DQ4" s="6"/>
      <c r="DR4" s="6"/>
      <c r="DS4" s="6"/>
      <c r="DT4" s="6"/>
      <c r="DU4" s="6"/>
      <c r="DV4" s="6"/>
      <c r="DW4" s="6"/>
      <c r="DX4" s="6"/>
      <c r="DY4" s="6"/>
      <c r="DZ4" s="6"/>
      <c r="EA4" s="6"/>
      <c r="EB4" s="6"/>
      <c r="EC4" s="6"/>
      <c r="ED4" s="6"/>
      <c r="EE4" s="6"/>
      <c r="EF4" s="6"/>
      <c r="EG4" s="6"/>
      <c r="EH4" s="6"/>
      <c r="EI4" s="6"/>
      <c r="EJ4" s="6"/>
      <c r="EK4" s="6"/>
      <c r="EL4" s="6"/>
      <c r="EM4" s="6"/>
      <c r="EN4" s="6"/>
      <c r="EO4" s="6"/>
      <c r="EP4" s="6"/>
      <c r="EQ4" s="6"/>
      <c r="ER4" s="6"/>
      <c r="ES4" s="6"/>
      <c r="ET4" s="6"/>
      <c r="EU4" s="6"/>
      <c r="EV4" s="6"/>
      <c r="EW4" s="6"/>
      <c r="EX4" s="6"/>
      <c r="EY4" s="6"/>
      <c r="EZ4" s="6"/>
      <c r="FA4" s="6"/>
      <c r="FB4" s="6"/>
      <c r="FC4" s="6"/>
      <c r="FD4" s="6"/>
      <c r="FE4" s="6"/>
      <c r="FF4" s="6"/>
      <c r="FG4" s="6"/>
      <c r="FH4" s="6"/>
      <c r="FI4" s="6"/>
      <c r="FJ4" s="6"/>
      <c r="FK4" s="6"/>
      <c r="FL4" s="6"/>
      <c r="FM4" s="6"/>
    </row>
    <row r="5" spans="1:169" s="8" customFormat="1" x14ac:dyDescent="0.3">
      <c r="A5" s="10">
        <f>GETPIVOTDATA("Total revenue",KPI!$A$3)</f>
        <v>240</v>
      </c>
      <c r="B5" s="10"/>
      <c r="C5" s="7"/>
      <c r="D5" s="7">
        <f>GETPIVOTDATA("Quantity",KPI!$C$3)</f>
        <v>6</v>
      </c>
      <c r="E5" s="7"/>
      <c r="F5" s="7"/>
      <c r="G5" s="7">
        <f>KPI!$E$4</f>
        <v>0.06</v>
      </c>
      <c r="H5" s="7"/>
      <c r="I5" s="7"/>
      <c r="J5" s="10">
        <f>KPI!$G$3</f>
        <v>2.5000000000000001E-2</v>
      </c>
      <c r="K5" s="10"/>
      <c r="L5" s="7"/>
      <c r="M5" s="7">
        <f>KPI!$I$4</f>
        <v>6</v>
      </c>
      <c r="N5" s="7"/>
      <c r="O5" s="7"/>
      <c r="P5" s="7">
        <f>KPI!$L$4</f>
        <v>2</v>
      </c>
      <c r="Q5" s="7"/>
      <c r="R5" s="7"/>
      <c r="S5" s="7"/>
      <c r="T5" s="7"/>
      <c r="U5" s="7"/>
      <c r="V5" s="7"/>
      <c r="W5" s="7"/>
      <c r="X5" s="7"/>
      <c r="Y5" s="7"/>
      <c r="Z5" s="7"/>
      <c r="AA5" s="7"/>
      <c r="AB5" s="7"/>
      <c r="AC5" s="7"/>
      <c r="AD5" s="7"/>
      <c r="AE5" s="7"/>
      <c r="AF5" s="7"/>
      <c r="AG5" s="7"/>
      <c r="AH5" s="7"/>
      <c r="AI5" s="7"/>
      <c r="AJ5" s="7"/>
      <c r="AK5" s="7"/>
      <c r="AL5" s="7"/>
      <c r="AM5" s="7"/>
      <c r="AN5" s="7"/>
      <c r="AO5" s="7"/>
      <c r="AP5" s="7"/>
      <c r="AQ5" s="7"/>
      <c r="AR5" s="7"/>
      <c r="AS5" s="7"/>
      <c r="AT5" s="7"/>
      <c r="AU5" s="7"/>
      <c r="AV5" s="7"/>
      <c r="AW5" s="7"/>
      <c r="AX5" s="7"/>
      <c r="AY5" s="7"/>
      <c r="AZ5" s="7"/>
      <c r="BA5" s="7"/>
      <c r="BB5" s="7"/>
      <c r="BC5" s="7"/>
      <c r="BD5" s="7"/>
      <c r="BE5" s="7"/>
      <c r="BF5" s="7"/>
      <c r="BG5" s="7"/>
      <c r="BH5" s="7"/>
      <c r="BI5" s="7"/>
      <c r="BJ5" s="7"/>
      <c r="BK5" s="7"/>
      <c r="BL5" s="7"/>
      <c r="BM5" s="7"/>
      <c r="BN5" s="7"/>
      <c r="BO5" s="7"/>
      <c r="BP5" s="7"/>
      <c r="BQ5" s="7"/>
      <c r="BR5" s="7"/>
      <c r="BS5" s="7"/>
      <c r="BT5" s="7"/>
      <c r="BU5" s="7"/>
      <c r="BV5" s="7"/>
      <c r="BW5" s="7"/>
      <c r="BX5" s="7"/>
      <c r="BY5" s="7"/>
      <c r="BZ5" s="7"/>
      <c r="CA5" s="7"/>
      <c r="CB5" s="7"/>
      <c r="CC5" s="7"/>
      <c r="CD5" s="7"/>
      <c r="CE5" s="7"/>
      <c r="CF5" s="7"/>
      <c r="CG5" s="7"/>
      <c r="CH5" s="7"/>
      <c r="CI5" s="7"/>
      <c r="CJ5" s="7"/>
      <c r="CK5" s="7"/>
      <c r="CL5" s="7"/>
      <c r="CM5" s="7"/>
      <c r="CN5" s="7"/>
      <c r="CO5" s="7"/>
      <c r="CP5" s="7"/>
      <c r="CQ5" s="7"/>
      <c r="CR5" s="7"/>
      <c r="CS5" s="7"/>
      <c r="CT5" s="7"/>
      <c r="CU5" s="7"/>
      <c r="CV5" s="7"/>
      <c r="CW5" s="7"/>
      <c r="CX5" s="7"/>
      <c r="CY5" s="7"/>
      <c r="CZ5" s="7"/>
      <c r="DA5" s="7"/>
      <c r="DB5" s="7"/>
      <c r="DC5" s="7"/>
      <c r="DD5" s="7"/>
      <c r="DE5" s="7"/>
      <c r="DF5" s="7"/>
      <c r="DG5" s="7"/>
      <c r="DH5" s="7"/>
      <c r="DI5" s="7"/>
      <c r="DJ5" s="7"/>
      <c r="DK5" s="7"/>
      <c r="DL5" s="7"/>
      <c r="DM5" s="7"/>
      <c r="DN5" s="7"/>
      <c r="DO5" s="7"/>
      <c r="DP5" s="7"/>
      <c r="DQ5" s="7"/>
      <c r="DR5" s="7"/>
      <c r="DS5" s="7"/>
      <c r="DT5" s="7"/>
      <c r="DU5" s="7"/>
      <c r="DV5" s="7"/>
      <c r="DW5" s="7"/>
      <c r="DX5" s="7"/>
      <c r="DY5" s="7"/>
      <c r="DZ5" s="7"/>
      <c r="EA5" s="7"/>
      <c r="EB5" s="7"/>
      <c r="EC5" s="7"/>
      <c r="ED5" s="7"/>
      <c r="EE5" s="7"/>
      <c r="EF5" s="7"/>
      <c r="EG5" s="7"/>
      <c r="EH5" s="7"/>
      <c r="EI5" s="7"/>
      <c r="EJ5" s="7"/>
      <c r="EK5" s="7"/>
      <c r="EL5" s="7"/>
      <c r="EM5" s="7"/>
      <c r="EN5" s="7"/>
      <c r="EO5" s="7"/>
      <c r="EP5" s="7"/>
      <c r="EQ5" s="7"/>
      <c r="ER5" s="7"/>
      <c r="ES5" s="7"/>
      <c r="ET5" s="7"/>
      <c r="EU5" s="7"/>
      <c r="EV5" s="7"/>
      <c r="EW5" s="7"/>
      <c r="EX5" s="7"/>
      <c r="EY5" s="7"/>
      <c r="EZ5" s="7"/>
      <c r="FA5" s="7"/>
      <c r="FB5" s="7"/>
      <c r="FC5" s="7"/>
      <c r="FD5" s="7"/>
      <c r="FE5" s="7"/>
      <c r="FF5" s="7"/>
      <c r="FG5" s="7"/>
      <c r="FH5" s="7"/>
      <c r="FI5" s="7"/>
      <c r="FJ5" s="7"/>
      <c r="FK5" s="7"/>
      <c r="FL5" s="7"/>
      <c r="FM5" s="7"/>
    </row>
    <row r="6" spans="1:169" x14ac:dyDescent="0.3">
      <c r="A6" s="6"/>
      <c r="B6" s="6"/>
      <c r="C6" s="6"/>
      <c r="D6" s="6"/>
      <c r="E6" s="6"/>
      <c r="F6" s="6"/>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c r="AO6" s="6"/>
      <c r="AP6" s="6"/>
      <c r="AQ6" s="6"/>
      <c r="AR6" s="6"/>
      <c r="AS6" s="6"/>
      <c r="AT6" s="6"/>
      <c r="AU6" s="6"/>
      <c r="AV6" s="6"/>
      <c r="AW6" s="6"/>
      <c r="AX6" s="6"/>
      <c r="AY6" s="6"/>
      <c r="AZ6" s="6"/>
      <c r="BA6" s="6"/>
      <c r="BB6" s="6"/>
      <c r="BC6" s="6"/>
      <c r="BD6" s="6"/>
      <c r="BE6" s="6"/>
      <c r="BF6" s="6"/>
      <c r="BG6" s="6"/>
      <c r="BH6" s="6"/>
      <c r="BI6" s="6"/>
      <c r="BJ6" s="6"/>
      <c r="BK6" s="6"/>
      <c r="BL6" s="6"/>
      <c r="BM6" s="6"/>
      <c r="BN6" s="6"/>
      <c r="BO6" s="6"/>
      <c r="BP6" s="6"/>
      <c r="BQ6" s="6"/>
      <c r="BR6" s="6"/>
      <c r="BS6" s="6"/>
      <c r="BT6" s="6"/>
      <c r="BU6" s="6"/>
      <c r="BV6" s="6"/>
      <c r="BW6" s="6"/>
      <c r="BX6" s="6"/>
      <c r="BY6" s="6"/>
      <c r="BZ6" s="6"/>
      <c r="CA6" s="6"/>
      <c r="CB6" s="6"/>
      <c r="CC6" s="6"/>
      <c r="CD6" s="6"/>
      <c r="CE6" s="6"/>
      <c r="CF6" s="6"/>
      <c r="CG6" s="6"/>
      <c r="CH6" s="6"/>
      <c r="CI6" s="6"/>
      <c r="CJ6" s="6"/>
      <c r="CK6" s="6"/>
      <c r="CL6" s="6"/>
      <c r="CM6" s="6"/>
      <c r="CN6" s="6"/>
      <c r="CO6" s="6"/>
      <c r="CP6" s="6"/>
      <c r="CQ6" s="6"/>
      <c r="CR6" s="6"/>
      <c r="CS6" s="6"/>
      <c r="CT6" s="6"/>
      <c r="CU6" s="6"/>
      <c r="CV6" s="6"/>
      <c r="CW6" s="6"/>
      <c r="CX6" s="6"/>
      <c r="CY6" s="6"/>
      <c r="CZ6" s="6"/>
      <c r="DA6" s="6"/>
      <c r="DB6" s="6"/>
      <c r="DC6" s="6"/>
      <c r="DD6" s="6"/>
      <c r="DE6" s="6"/>
      <c r="DF6" s="6"/>
      <c r="DG6" s="6"/>
      <c r="DH6" s="6"/>
      <c r="DI6" s="6"/>
      <c r="DJ6" s="6"/>
      <c r="DK6" s="6"/>
      <c r="DL6" s="6"/>
      <c r="DM6" s="6"/>
      <c r="DN6" s="6"/>
      <c r="DO6" s="6"/>
      <c r="DP6" s="6"/>
      <c r="DQ6" s="6"/>
      <c r="DR6" s="6"/>
      <c r="DS6" s="6"/>
      <c r="DT6" s="6"/>
      <c r="DU6" s="6"/>
      <c r="DV6" s="6"/>
      <c r="DW6" s="6"/>
      <c r="DX6" s="6"/>
      <c r="DY6" s="6"/>
      <c r="DZ6" s="6"/>
      <c r="EA6" s="6"/>
      <c r="EB6" s="6"/>
      <c r="EC6" s="6"/>
      <c r="ED6" s="6"/>
      <c r="EE6" s="6"/>
      <c r="EF6" s="6"/>
      <c r="EG6" s="6"/>
      <c r="EH6" s="6"/>
      <c r="EI6" s="6"/>
      <c r="EJ6" s="6"/>
      <c r="EK6" s="6"/>
      <c r="EL6" s="6"/>
      <c r="EM6" s="6"/>
      <c r="EN6" s="6"/>
      <c r="EO6" s="6"/>
      <c r="EP6" s="6"/>
      <c r="EQ6" s="6"/>
      <c r="ER6" s="6"/>
      <c r="ES6" s="6"/>
      <c r="ET6" s="6"/>
      <c r="EU6" s="6"/>
      <c r="EV6" s="6"/>
      <c r="EW6" s="6"/>
      <c r="EX6" s="6"/>
      <c r="EY6" s="6"/>
      <c r="EZ6" s="6"/>
      <c r="FA6" s="6"/>
      <c r="FB6" s="6"/>
      <c r="FC6" s="6"/>
      <c r="FD6" s="6"/>
      <c r="FE6" s="6"/>
      <c r="FF6" s="6"/>
      <c r="FG6" s="6"/>
      <c r="FH6" s="6"/>
      <c r="FI6" s="6"/>
      <c r="FJ6" s="6"/>
      <c r="FK6" s="6"/>
      <c r="FL6" s="6"/>
      <c r="FM6" s="6"/>
    </row>
    <row r="7" spans="1:169" x14ac:dyDescent="0.3">
      <c r="A7" s="6"/>
      <c r="B7" s="6"/>
      <c r="C7" s="6"/>
      <c r="D7" s="6"/>
      <c r="E7" s="6"/>
      <c r="F7" s="6"/>
      <c r="G7" s="6"/>
      <c r="H7" s="6"/>
      <c r="I7" s="6"/>
      <c r="J7" s="6"/>
      <c r="K7" s="6"/>
      <c r="L7" s="6"/>
      <c r="M7" s="6"/>
      <c r="N7" s="6"/>
      <c r="O7" s="6"/>
      <c r="P7" s="6"/>
      <c r="Q7" s="6"/>
      <c r="R7" s="6"/>
      <c r="S7" s="6"/>
      <c r="T7" s="6"/>
      <c r="U7" s="6"/>
      <c r="V7" s="6"/>
      <c r="W7" s="6"/>
      <c r="X7" s="6"/>
      <c r="Y7" s="6"/>
      <c r="Z7" s="6"/>
      <c r="AA7" s="6"/>
      <c r="AB7" s="6"/>
      <c r="AC7" s="6"/>
      <c r="AD7" s="6"/>
      <c r="AE7" s="6"/>
      <c r="AF7" s="6"/>
      <c r="AG7" s="6"/>
      <c r="AH7" s="6"/>
      <c r="AI7" s="6"/>
      <c r="AJ7" s="6"/>
      <c r="AK7" s="6"/>
      <c r="AL7" s="6"/>
      <c r="AM7" s="6"/>
      <c r="AN7" s="6"/>
      <c r="AO7" s="6"/>
      <c r="AP7" s="6"/>
      <c r="AQ7" s="6"/>
      <c r="AR7" s="6"/>
      <c r="AS7" s="6"/>
      <c r="AT7" s="6"/>
      <c r="AU7" s="6"/>
      <c r="AV7" s="6"/>
      <c r="AW7" s="6"/>
      <c r="AX7" s="6"/>
      <c r="AY7" s="6"/>
      <c r="AZ7" s="6"/>
      <c r="BA7" s="6"/>
      <c r="BB7" s="6"/>
      <c r="BC7" s="6"/>
      <c r="BD7" s="6"/>
      <c r="BE7" s="6"/>
      <c r="BF7" s="6"/>
      <c r="BG7" s="6"/>
      <c r="BH7" s="6"/>
      <c r="BI7" s="6"/>
      <c r="BJ7" s="6"/>
      <c r="BK7" s="6"/>
      <c r="BL7" s="6"/>
      <c r="BM7" s="6"/>
      <c r="BN7" s="6"/>
      <c r="BO7" s="6"/>
      <c r="BP7" s="6"/>
      <c r="BQ7" s="6"/>
      <c r="BR7" s="6"/>
      <c r="BS7" s="6"/>
      <c r="BT7" s="6"/>
      <c r="BU7" s="6"/>
      <c r="BV7" s="6"/>
      <c r="BW7" s="6"/>
      <c r="BX7" s="6"/>
      <c r="BY7" s="6"/>
      <c r="BZ7" s="6"/>
      <c r="CA7" s="6"/>
      <c r="CB7" s="6"/>
      <c r="CC7" s="6"/>
      <c r="CD7" s="6"/>
      <c r="CE7" s="6"/>
      <c r="CF7" s="6"/>
      <c r="CG7" s="6"/>
      <c r="CH7" s="6"/>
      <c r="CI7" s="6"/>
      <c r="CJ7" s="6"/>
      <c r="CK7" s="6"/>
      <c r="CL7" s="6"/>
      <c r="CM7" s="6"/>
      <c r="CN7" s="6"/>
      <c r="CO7" s="6"/>
      <c r="CP7" s="6"/>
      <c r="CQ7" s="6"/>
      <c r="CR7" s="6"/>
      <c r="CS7" s="6"/>
      <c r="CT7" s="6"/>
      <c r="CU7" s="6"/>
      <c r="CV7" s="6"/>
      <c r="CW7" s="6"/>
      <c r="CX7" s="6"/>
      <c r="CY7" s="6"/>
      <c r="CZ7" s="6"/>
      <c r="DA7" s="6"/>
      <c r="DB7" s="6"/>
      <c r="DC7" s="6"/>
      <c r="DD7" s="6"/>
      <c r="DE7" s="6"/>
      <c r="DF7" s="6"/>
      <c r="DG7" s="6"/>
      <c r="DH7" s="6"/>
      <c r="DI7" s="6"/>
      <c r="DJ7" s="6"/>
      <c r="DK7" s="6"/>
      <c r="DL7" s="6"/>
      <c r="DM7" s="6"/>
      <c r="DN7" s="6"/>
      <c r="DO7" s="6"/>
      <c r="DP7" s="6"/>
      <c r="DQ7" s="6"/>
      <c r="DR7" s="6"/>
      <c r="DS7" s="6"/>
      <c r="DT7" s="6"/>
      <c r="DU7" s="6"/>
      <c r="DV7" s="6"/>
      <c r="DW7" s="6"/>
      <c r="DX7" s="6"/>
      <c r="DY7" s="6"/>
      <c r="DZ7" s="6"/>
      <c r="EA7" s="6"/>
      <c r="EB7" s="6"/>
      <c r="EC7" s="6"/>
      <c r="ED7" s="6"/>
      <c r="EE7" s="6"/>
      <c r="EF7" s="6"/>
      <c r="EG7" s="6"/>
      <c r="EH7" s="6"/>
      <c r="EI7" s="6"/>
      <c r="EJ7" s="6"/>
      <c r="EK7" s="6"/>
      <c r="EL7" s="6"/>
      <c r="EM7" s="6"/>
      <c r="EN7" s="6"/>
      <c r="EO7" s="6"/>
      <c r="EP7" s="6"/>
      <c r="EQ7" s="6"/>
      <c r="ER7" s="6"/>
      <c r="ES7" s="6"/>
      <c r="ET7" s="6"/>
      <c r="EU7" s="6"/>
      <c r="EV7" s="6"/>
      <c r="EW7" s="6"/>
      <c r="EX7" s="6"/>
      <c r="EY7" s="6"/>
      <c r="EZ7" s="6"/>
      <c r="FA7" s="6"/>
      <c r="FB7" s="6"/>
      <c r="FC7" s="6"/>
      <c r="FD7" s="6"/>
      <c r="FE7" s="6"/>
      <c r="FF7" s="6"/>
      <c r="FG7" s="6"/>
      <c r="FH7" s="6"/>
      <c r="FI7" s="6"/>
      <c r="FJ7" s="6"/>
      <c r="FK7" s="6"/>
      <c r="FL7" s="6"/>
      <c r="FM7" s="6"/>
    </row>
    <row r="8" spans="1:169" x14ac:dyDescent="0.3">
      <c r="A8" s="6"/>
      <c r="B8" s="6"/>
      <c r="C8" s="6"/>
      <c r="D8" s="6"/>
      <c r="E8" s="6"/>
      <c r="F8" s="6"/>
      <c r="G8" s="6"/>
      <c r="H8" s="6"/>
      <c r="I8" s="6"/>
      <c r="J8" s="6"/>
      <c r="K8" s="6"/>
      <c r="L8" s="6"/>
      <c r="M8" s="6"/>
      <c r="N8" s="6"/>
      <c r="O8" s="6"/>
      <c r="P8" s="6"/>
      <c r="Q8" s="6"/>
      <c r="R8" s="6"/>
      <c r="S8" s="6"/>
      <c r="T8" s="6"/>
      <c r="U8" s="6"/>
      <c r="V8" s="6"/>
      <c r="W8" s="6"/>
      <c r="X8" s="6"/>
      <c r="Y8" s="6"/>
      <c r="Z8" s="6"/>
      <c r="AA8" s="6"/>
      <c r="AB8" s="6"/>
      <c r="AC8" s="6"/>
      <c r="AD8" s="6"/>
      <c r="AE8" s="6"/>
      <c r="AF8" s="6"/>
      <c r="AG8" s="6"/>
      <c r="AH8" s="6"/>
      <c r="AI8" s="6"/>
      <c r="AJ8" s="6"/>
      <c r="AK8" s="6"/>
      <c r="AL8" s="6"/>
      <c r="AM8" s="6"/>
      <c r="AN8" s="6"/>
      <c r="AO8" s="6"/>
      <c r="AP8" s="6"/>
      <c r="AQ8" s="6"/>
      <c r="AR8" s="6"/>
      <c r="AS8" s="6"/>
      <c r="AT8" s="6"/>
      <c r="AU8" s="6"/>
      <c r="AV8" s="6"/>
      <c r="AW8" s="6"/>
      <c r="AX8" s="6"/>
      <c r="AY8" s="6"/>
      <c r="AZ8" s="6"/>
      <c r="BA8" s="6"/>
      <c r="BB8" s="6"/>
      <c r="BC8" s="6"/>
      <c r="BD8" s="6"/>
      <c r="BE8" s="6"/>
      <c r="BF8" s="6"/>
      <c r="BG8" s="6"/>
      <c r="BH8" s="6"/>
      <c r="BI8" s="6"/>
      <c r="BJ8" s="6"/>
      <c r="BK8" s="6"/>
      <c r="BL8" s="6"/>
      <c r="BM8" s="6"/>
      <c r="BN8" s="6"/>
      <c r="BO8" s="6"/>
      <c r="BP8" s="6"/>
      <c r="BQ8" s="6"/>
      <c r="BR8" s="6"/>
      <c r="BS8" s="6"/>
      <c r="BT8" s="6"/>
      <c r="BU8" s="6"/>
      <c r="BV8" s="6"/>
      <c r="BW8" s="6"/>
      <c r="BX8" s="6"/>
      <c r="BY8" s="6"/>
      <c r="BZ8" s="6"/>
      <c r="CA8" s="6"/>
      <c r="CB8" s="6"/>
      <c r="CC8" s="6"/>
      <c r="CD8" s="6"/>
      <c r="CE8" s="6"/>
      <c r="CF8" s="6"/>
      <c r="CG8" s="6"/>
      <c r="CH8" s="6"/>
      <c r="CI8" s="6"/>
      <c r="CJ8" s="6"/>
      <c r="CK8" s="6"/>
      <c r="CL8" s="6"/>
      <c r="CM8" s="6"/>
      <c r="CN8" s="6"/>
      <c r="CO8" s="6"/>
      <c r="CP8" s="6"/>
      <c r="CQ8" s="6"/>
      <c r="CR8" s="6"/>
      <c r="CS8" s="6"/>
      <c r="CT8" s="6"/>
      <c r="CU8" s="6"/>
      <c r="CV8" s="6"/>
      <c r="CW8" s="6"/>
      <c r="CX8" s="6"/>
      <c r="CY8" s="6"/>
      <c r="CZ8" s="6"/>
      <c r="DA8" s="6"/>
      <c r="DB8" s="6"/>
      <c r="DC8" s="6"/>
      <c r="DD8" s="6"/>
      <c r="DE8" s="6"/>
      <c r="DF8" s="6"/>
      <c r="DG8" s="6"/>
      <c r="DH8" s="6"/>
      <c r="DI8" s="6"/>
      <c r="DJ8" s="6"/>
      <c r="DK8" s="6"/>
      <c r="DL8" s="6"/>
      <c r="DM8" s="6"/>
      <c r="DN8" s="6"/>
      <c r="DO8" s="6"/>
      <c r="DP8" s="6"/>
      <c r="DQ8" s="6"/>
      <c r="DR8" s="6"/>
      <c r="DS8" s="6"/>
      <c r="DT8" s="6"/>
      <c r="DU8" s="6"/>
      <c r="DV8" s="6"/>
      <c r="DW8" s="6"/>
      <c r="DX8" s="6"/>
      <c r="DY8" s="6"/>
      <c r="DZ8" s="6"/>
      <c r="EA8" s="6"/>
      <c r="EB8" s="6"/>
      <c r="EC8" s="6"/>
      <c r="ED8" s="6"/>
      <c r="EE8" s="6"/>
      <c r="EF8" s="6"/>
      <c r="EG8" s="6"/>
      <c r="EH8" s="6"/>
      <c r="EI8" s="6"/>
      <c r="EJ8" s="6"/>
      <c r="EK8" s="6"/>
      <c r="EL8" s="6"/>
      <c r="EM8" s="6"/>
      <c r="EN8" s="6"/>
      <c r="EO8" s="6"/>
      <c r="EP8" s="6"/>
      <c r="EQ8" s="6"/>
      <c r="ER8" s="6"/>
      <c r="ES8" s="6"/>
      <c r="ET8" s="6"/>
      <c r="EU8" s="6"/>
      <c r="EV8" s="6"/>
      <c r="EW8" s="6"/>
      <c r="EX8" s="6"/>
      <c r="EY8" s="6"/>
      <c r="EZ8" s="6"/>
      <c r="FA8" s="6"/>
      <c r="FB8" s="6"/>
      <c r="FC8" s="6"/>
      <c r="FD8" s="6"/>
      <c r="FE8" s="6"/>
      <c r="FF8" s="6"/>
      <c r="FG8" s="6"/>
      <c r="FH8" s="6"/>
      <c r="FI8" s="6"/>
      <c r="FJ8" s="6"/>
      <c r="FK8" s="6"/>
      <c r="FL8" s="6"/>
      <c r="FM8" s="6"/>
    </row>
    <row r="9" spans="1:169" x14ac:dyDescent="0.3">
      <c r="A9" s="6"/>
      <c r="B9" s="6"/>
      <c r="C9" s="6"/>
      <c r="D9" s="6"/>
      <c r="E9" s="6"/>
      <c r="F9" s="6"/>
      <c r="G9" s="6"/>
      <c r="H9" s="6"/>
      <c r="I9" s="6"/>
      <c r="J9" s="6"/>
      <c r="K9" s="6"/>
      <c r="L9" s="6"/>
      <c r="M9" s="6"/>
      <c r="N9" s="6"/>
      <c r="O9" s="6"/>
      <c r="P9" s="6"/>
      <c r="Q9" s="6"/>
      <c r="R9" s="6"/>
      <c r="S9" s="6"/>
      <c r="T9" s="6"/>
      <c r="U9" s="6"/>
      <c r="V9" s="6"/>
      <c r="W9" s="6"/>
      <c r="X9" s="6"/>
      <c r="Y9" s="6"/>
      <c r="Z9" s="6"/>
      <c r="AA9" s="6"/>
      <c r="AB9" s="6"/>
      <c r="AC9" s="6"/>
      <c r="AD9" s="6"/>
      <c r="AE9" s="6"/>
      <c r="AF9" s="6"/>
      <c r="AG9" s="6"/>
      <c r="AH9" s="6"/>
      <c r="AI9" s="6"/>
      <c r="AJ9" s="6"/>
      <c r="AK9" s="6"/>
      <c r="AL9" s="6"/>
      <c r="AM9" s="6"/>
      <c r="AN9" s="6"/>
      <c r="AO9" s="6"/>
      <c r="AP9" s="6"/>
      <c r="AQ9" s="6"/>
      <c r="AR9" s="6"/>
      <c r="AS9" s="6"/>
      <c r="AT9" s="6"/>
      <c r="AU9" s="6"/>
      <c r="AV9" s="6"/>
      <c r="AW9" s="6"/>
      <c r="AX9" s="6"/>
      <c r="AY9" s="6"/>
      <c r="AZ9" s="6"/>
      <c r="BA9" s="6"/>
      <c r="BB9" s="6"/>
      <c r="BC9" s="6"/>
      <c r="BD9" s="6"/>
      <c r="BE9" s="6"/>
      <c r="BF9" s="6"/>
      <c r="BG9" s="6"/>
      <c r="BH9" s="6"/>
      <c r="BI9" s="6"/>
      <c r="BJ9" s="6"/>
      <c r="BK9" s="6"/>
      <c r="BL9" s="6"/>
      <c r="BM9" s="6"/>
      <c r="BN9" s="6"/>
      <c r="BO9" s="6"/>
      <c r="BP9" s="6"/>
      <c r="BQ9" s="6"/>
      <c r="BR9" s="6"/>
      <c r="BS9" s="6"/>
      <c r="BT9" s="6"/>
      <c r="BU9" s="6"/>
      <c r="BV9" s="6"/>
      <c r="BW9" s="6"/>
      <c r="BX9" s="6"/>
      <c r="BY9" s="6"/>
      <c r="BZ9" s="6"/>
      <c r="CA9" s="6"/>
      <c r="CB9" s="6"/>
      <c r="CC9" s="6"/>
      <c r="CD9" s="6"/>
      <c r="CE9" s="6"/>
      <c r="CF9" s="6"/>
      <c r="CG9" s="6"/>
      <c r="CH9" s="6"/>
      <c r="CI9" s="6"/>
      <c r="CJ9" s="6"/>
      <c r="CK9" s="6"/>
      <c r="CL9" s="6"/>
      <c r="CM9" s="6"/>
      <c r="CN9" s="6"/>
      <c r="CO9" s="6"/>
      <c r="CP9" s="6"/>
      <c r="CQ9" s="6"/>
      <c r="CR9" s="6"/>
      <c r="CS9" s="6"/>
      <c r="CT9" s="6"/>
      <c r="CU9" s="6"/>
      <c r="CV9" s="6"/>
      <c r="CW9" s="6"/>
      <c r="CX9" s="6"/>
      <c r="CY9" s="6"/>
      <c r="CZ9" s="6"/>
      <c r="DA9" s="6"/>
      <c r="DB9" s="6"/>
      <c r="DC9" s="6"/>
      <c r="DD9" s="6"/>
      <c r="DE9" s="6"/>
      <c r="DF9" s="6"/>
      <c r="DG9" s="6"/>
      <c r="DH9" s="6"/>
      <c r="DI9" s="6"/>
      <c r="DJ9" s="6"/>
      <c r="DK9" s="6"/>
      <c r="DL9" s="6"/>
      <c r="DM9" s="6"/>
      <c r="DN9" s="6"/>
      <c r="DO9" s="6"/>
      <c r="DP9" s="6"/>
      <c r="DQ9" s="6"/>
      <c r="DR9" s="6"/>
      <c r="DS9" s="6"/>
      <c r="DT9" s="6"/>
      <c r="DU9" s="6"/>
      <c r="DV9" s="6"/>
      <c r="DW9" s="6"/>
      <c r="DX9" s="6"/>
      <c r="DY9" s="6"/>
      <c r="DZ9" s="6"/>
      <c r="EA9" s="6"/>
      <c r="EB9" s="6"/>
      <c r="EC9" s="6"/>
      <c r="ED9" s="6"/>
      <c r="EE9" s="6"/>
      <c r="EF9" s="6"/>
      <c r="EG9" s="6"/>
      <c r="EH9" s="6"/>
      <c r="EI9" s="6"/>
      <c r="EJ9" s="6"/>
      <c r="EK9" s="6"/>
      <c r="EL9" s="6"/>
      <c r="EM9" s="6"/>
      <c r="EN9" s="6"/>
      <c r="EO9" s="6"/>
      <c r="EP9" s="6"/>
      <c r="EQ9" s="6"/>
      <c r="ER9" s="6"/>
      <c r="ES9" s="6"/>
      <c r="ET9" s="6"/>
      <c r="EU9" s="6"/>
      <c r="EV9" s="6"/>
      <c r="EW9" s="6"/>
      <c r="EX9" s="6"/>
      <c r="EY9" s="6"/>
      <c r="EZ9" s="6"/>
      <c r="FA9" s="6"/>
      <c r="FB9" s="6"/>
      <c r="FC9" s="6"/>
      <c r="FD9" s="6"/>
      <c r="FE9" s="6"/>
      <c r="FF9" s="6"/>
      <c r="FG9" s="6"/>
      <c r="FH9" s="6"/>
      <c r="FI9" s="6"/>
      <c r="FJ9" s="6"/>
      <c r="FK9" s="6"/>
      <c r="FL9" s="6"/>
      <c r="FM9" s="6"/>
    </row>
    <row r="10" spans="1:169" x14ac:dyDescent="0.3">
      <c r="A10" s="6"/>
      <c r="B10" s="6"/>
      <c r="C10" s="6"/>
      <c r="D10" s="6"/>
      <c r="E10" s="6"/>
      <c r="F10" s="6"/>
      <c r="G10" s="6"/>
      <c r="H10" s="6"/>
      <c r="I10" s="6"/>
      <c r="J10" s="6"/>
      <c r="K10" s="6"/>
      <c r="L10" s="6"/>
      <c r="M10" s="6"/>
      <c r="N10" s="6"/>
      <c r="O10" s="6"/>
      <c r="P10" s="6"/>
      <c r="Q10" s="6"/>
      <c r="R10" s="6"/>
      <c r="S10" s="6"/>
      <c r="T10" s="6"/>
      <c r="U10" s="6"/>
      <c r="V10" s="6"/>
      <c r="W10" s="6"/>
      <c r="X10" s="6"/>
      <c r="Y10" s="6"/>
      <c r="Z10" s="6"/>
      <c r="AA10" s="6"/>
      <c r="AB10" s="6"/>
      <c r="AC10" s="6"/>
      <c r="AD10" s="6"/>
      <c r="AE10" s="6"/>
      <c r="AF10" s="6"/>
      <c r="AG10" s="6"/>
      <c r="AH10" s="6"/>
      <c r="AI10" s="6"/>
      <c r="AJ10" s="6"/>
      <c r="AK10" s="6"/>
      <c r="AL10" s="6"/>
      <c r="AM10" s="6"/>
      <c r="AN10" s="6"/>
      <c r="AO10" s="6"/>
      <c r="AP10" s="6"/>
      <c r="AQ10" s="6"/>
      <c r="AR10" s="6"/>
      <c r="AS10" s="6"/>
      <c r="AT10" s="6"/>
      <c r="AU10" s="6"/>
      <c r="AV10" s="6"/>
      <c r="AW10" s="6"/>
      <c r="AX10" s="6"/>
      <c r="AY10" s="6"/>
      <c r="AZ10" s="6"/>
      <c r="BA10" s="6"/>
      <c r="BB10" s="6"/>
      <c r="BC10" s="6"/>
      <c r="BD10" s="6"/>
      <c r="BE10" s="6"/>
      <c r="BF10" s="6"/>
      <c r="BG10" s="6"/>
      <c r="BH10" s="6"/>
      <c r="BI10" s="6"/>
      <c r="BJ10" s="6"/>
      <c r="BK10" s="6"/>
      <c r="BL10" s="6"/>
      <c r="BM10" s="6"/>
      <c r="BN10" s="6"/>
      <c r="BO10" s="6"/>
      <c r="BP10" s="6"/>
      <c r="BQ10" s="6"/>
      <c r="BR10" s="6"/>
      <c r="BS10" s="6"/>
      <c r="BT10" s="6"/>
      <c r="BU10" s="6"/>
      <c r="BV10" s="6"/>
      <c r="BW10" s="6"/>
      <c r="BX10" s="6"/>
      <c r="BY10" s="6"/>
      <c r="BZ10" s="6"/>
      <c r="CA10" s="6"/>
      <c r="CB10" s="6"/>
      <c r="CC10" s="6"/>
      <c r="CD10" s="6"/>
      <c r="CE10" s="6"/>
      <c r="CF10" s="6"/>
      <c r="CG10" s="6"/>
      <c r="CH10" s="6"/>
      <c r="CI10" s="6"/>
      <c r="CJ10" s="6"/>
      <c r="CK10" s="6"/>
      <c r="CL10" s="6"/>
      <c r="CM10" s="6"/>
      <c r="CN10" s="6"/>
      <c r="CO10" s="6"/>
      <c r="CP10" s="6"/>
      <c r="CQ10" s="6"/>
      <c r="CR10" s="6"/>
      <c r="CS10" s="6"/>
      <c r="CT10" s="6"/>
      <c r="CU10" s="6"/>
      <c r="CV10" s="6"/>
      <c r="CW10" s="6"/>
      <c r="CX10" s="6"/>
      <c r="CY10" s="6"/>
      <c r="CZ10" s="6"/>
      <c r="DA10" s="6"/>
      <c r="DB10" s="6"/>
      <c r="DC10" s="6"/>
      <c r="DD10" s="6"/>
      <c r="DE10" s="6"/>
      <c r="DF10" s="6"/>
      <c r="DG10" s="6"/>
      <c r="DH10" s="6"/>
      <c r="DI10" s="6"/>
      <c r="DJ10" s="6"/>
      <c r="DK10" s="6"/>
      <c r="DL10" s="6"/>
      <c r="DM10" s="6"/>
      <c r="DN10" s="6"/>
      <c r="DO10" s="6"/>
      <c r="DP10" s="6"/>
      <c r="DQ10" s="6"/>
      <c r="DR10" s="6"/>
      <c r="DS10" s="6"/>
      <c r="DT10" s="6"/>
      <c r="DU10" s="6"/>
      <c r="DV10" s="6"/>
      <c r="DW10" s="6"/>
      <c r="DX10" s="6"/>
      <c r="DY10" s="6"/>
      <c r="DZ10" s="6"/>
      <c r="EA10" s="6"/>
      <c r="EB10" s="6"/>
      <c r="EC10" s="6"/>
      <c r="ED10" s="6"/>
      <c r="EE10" s="6"/>
      <c r="EF10" s="6"/>
      <c r="EG10" s="6"/>
      <c r="EH10" s="6"/>
      <c r="EI10" s="6"/>
      <c r="EJ10" s="6"/>
      <c r="EK10" s="6"/>
      <c r="EL10" s="6"/>
      <c r="EM10" s="6"/>
      <c r="EN10" s="6"/>
      <c r="EO10" s="6"/>
      <c r="EP10" s="6"/>
      <c r="EQ10" s="6"/>
      <c r="ER10" s="6"/>
      <c r="ES10" s="6"/>
      <c r="ET10" s="6"/>
      <c r="EU10" s="6"/>
      <c r="EV10" s="6"/>
      <c r="EW10" s="6"/>
      <c r="EX10" s="6"/>
      <c r="EY10" s="6"/>
      <c r="EZ10" s="6"/>
      <c r="FA10" s="6"/>
      <c r="FB10" s="6"/>
      <c r="FC10" s="6"/>
      <c r="FD10" s="6"/>
      <c r="FE10" s="6"/>
      <c r="FF10" s="6"/>
      <c r="FG10" s="6"/>
      <c r="FH10" s="6"/>
      <c r="FI10" s="6"/>
      <c r="FJ10" s="6"/>
      <c r="FK10" s="6"/>
      <c r="FL10" s="6"/>
      <c r="FM10" s="6"/>
    </row>
    <row r="11" spans="1:169" x14ac:dyDescent="0.3">
      <c r="A11" s="6"/>
      <c r="B11" s="6"/>
      <c r="C11" s="6"/>
      <c r="D11" s="6"/>
      <c r="E11" s="6"/>
      <c r="F11" s="6"/>
      <c r="G11" s="6"/>
      <c r="H11" s="6"/>
      <c r="I11" s="6"/>
      <c r="J11" s="6"/>
      <c r="K11" s="6"/>
      <c r="L11" s="6"/>
      <c r="M11" s="6"/>
      <c r="N11" s="6"/>
      <c r="O11" s="6"/>
      <c r="P11" s="6"/>
      <c r="Q11" s="6"/>
      <c r="R11" s="6"/>
      <c r="S11" s="6"/>
      <c r="T11" s="6"/>
      <c r="U11" s="6"/>
      <c r="V11" s="6"/>
      <c r="W11" s="6"/>
      <c r="X11" s="6"/>
      <c r="Y11" s="6"/>
      <c r="Z11" s="6"/>
      <c r="AA11" s="6"/>
      <c r="AB11" s="6"/>
      <c r="AC11" s="6"/>
      <c r="AD11" s="6"/>
      <c r="AE11" s="6"/>
      <c r="AF11" s="6"/>
      <c r="AG11" s="6"/>
      <c r="AH11" s="6"/>
      <c r="AI11" s="6"/>
      <c r="AJ11" s="6"/>
      <c r="AK11" s="6"/>
      <c r="AL11" s="6"/>
      <c r="AM11" s="6"/>
      <c r="AN11" s="6"/>
      <c r="AO11" s="6"/>
      <c r="AP11" s="6"/>
      <c r="AQ11" s="6"/>
      <c r="AR11" s="6"/>
      <c r="AS11" s="6"/>
      <c r="AT11" s="6"/>
      <c r="AU11" s="6"/>
      <c r="AV11" s="6"/>
      <c r="AW11" s="6"/>
      <c r="AX11" s="6"/>
      <c r="AY11" s="6"/>
      <c r="AZ11" s="6"/>
      <c r="BA11" s="6"/>
      <c r="BB11" s="6"/>
      <c r="BC11" s="6"/>
      <c r="BD11" s="6"/>
      <c r="BE11" s="6"/>
      <c r="BF11" s="6"/>
      <c r="BG11" s="6"/>
      <c r="BH11" s="6"/>
      <c r="BI11" s="6"/>
      <c r="BJ11" s="6"/>
      <c r="BK11" s="6"/>
      <c r="BL11" s="6"/>
      <c r="BM11" s="6"/>
      <c r="BN11" s="6"/>
      <c r="BO11" s="6"/>
      <c r="BP11" s="6"/>
      <c r="BQ11" s="6"/>
      <c r="BR11" s="6"/>
      <c r="BS11" s="6"/>
      <c r="BT11" s="6"/>
      <c r="BU11" s="6"/>
      <c r="BV11" s="6"/>
      <c r="BW11" s="6"/>
      <c r="BX11" s="6"/>
      <c r="BY11" s="6"/>
      <c r="BZ11" s="6"/>
      <c r="CA11" s="6"/>
      <c r="CB11" s="6"/>
      <c r="CC11" s="6"/>
      <c r="CD11" s="6"/>
      <c r="CE11" s="6"/>
      <c r="CF11" s="6"/>
      <c r="CG11" s="6"/>
      <c r="CH11" s="6"/>
      <c r="CI11" s="6"/>
      <c r="CJ11" s="6"/>
      <c r="CK11" s="6"/>
      <c r="CL11" s="6"/>
      <c r="CM11" s="6"/>
      <c r="CN11" s="6"/>
      <c r="CO11" s="6"/>
      <c r="CP11" s="6"/>
      <c r="CQ11" s="6"/>
      <c r="CR11" s="6"/>
      <c r="CS11" s="6"/>
      <c r="CT11" s="6"/>
      <c r="CU11" s="6"/>
      <c r="CV11" s="6"/>
      <c r="CW11" s="6"/>
      <c r="CX11" s="6"/>
      <c r="CY11" s="6"/>
      <c r="CZ11" s="6"/>
      <c r="DA11" s="6"/>
      <c r="DB11" s="6"/>
      <c r="DC11" s="6"/>
      <c r="DD11" s="6"/>
      <c r="DE11" s="6"/>
      <c r="DF11" s="6"/>
      <c r="DG11" s="6"/>
      <c r="DH11" s="6"/>
      <c r="DI11" s="6"/>
      <c r="DJ11" s="6"/>
      <c r="DK11" s="6"/>
      <c r="DL11" s="6"/>
      <c r="DM11" s="6"/>
      <c r="DN11" s="6"/>
      <c r="DO11" s="6"/>
      <c r="DP11" s="6"/>
      <c r="DQ11" s="6"/>
      <c r="DR11" s="6"/>
      <c r="DS11" s="6"/>
      <c r="DT11" s="6"/>
      <c r="DU11" s="6"/>
      <c r="DV11" s="6"/>
      <c r="DW11" s="6"/>
      <c r="DX11" s="6"/>
      <c r="DY11" s="6"/>
      <c r="DZ11" s="6"/>
      <c r="EA11" s="6"/>
      <c r="EB11" s="6"/>
      <c r="EC11" s="6"/>
      <c r="ED11" s="6"/>
      <c r="EE11" s="6"/>
      <c r="EF11" s="6"/>
      <c r="EG11" s="6"/>
      <c r="EH11" s="6"/>
      <c r="EI11" s="6"/>
      <c r="EJ11" s="6"/>
      <c r="EK11" s="6"/>
      <c r="EL11" s="6"/>
      <c r="EM11" s="6"/>
      <c r="EN11" s="6"/>
      <c r="EO11" s="6"/>
      <c r="EP11" s="6"/>
      <c r="EQ11" s="6"/>
      <c r="ER11" s="6"/>
      <c r="ES11" s="6"/>
      <c r="ET11" s="6"/>
      <c r="EU11" s="6"/>
      <c r="EV11" s="6"/>
      <c r="EW11" s="6"/>
      <c r="EX11" s="6"/>
      <c r="EY11" s="6"/>
      <c r="EZ11" s="6"/>
      <c r="FA11" s="6"/>
      <c r="FB11" s="6"/>
      <c r="FC11" s="6"/>
      <c r="FD11" s="6"/>
      <c r="FE11" s="6"/>
      <c r="FF11" s="6"/>
      <c r="FG11" s="6"/>
      <c r="FH11" s="6"/>
      <c r="FI11" s="6"/>
      <c r="FJ11" s="6"/>
      <c r="FK11" s="6"/>
      <c r="FL11" s="6"/>
      <c r="FM11" s="6"/>
    </row>
    <row r="12" spans="1:169" x14ac:dyDescent="0.3">
      <c r="A12" s="6"/>
      <c r="B12" s="6"/>
      <c r="C12" s="6"/>
      <c r="D12" s="6"/>
      <c r="E12" s="6"/>
      <c r="F12" s="6"/>
      <c r="G12" s="6"/>
      <c r="H12" s="6"/>
      <c r="I12" s="6"/>
      <c r="J12" s="6"/>
      <c r="K12" s="6"/>
      <c r="L12" s="6"/>
      <c r="M12" s="6"/>
      <c r="N12" s="6"/>
      <c r="O12" s="6"/>
      <c r="P12" s="6"/>
      <c r="Q12" s="6"/>
      <c r="R12" s="6"/>
      <c r="S12" s="6"/>
      <c r="T12" s="6"/>
      <c r="U12" s="6"/>
      <c r="V12" s="6"/>
      <c r="W12" s="6"/>
      <c r="X12" s="6"/>
      <c r="Y12" s="6"/>
      <c r="Z12" s="6"/>
      <c r="AA12" s="6"/>
      <c r="AB12" s="6"/>
      <c r="AC12" s="6"/>
      <c r="AD12" s="6"/>
      <c r="AE12" s="6"/>
      <c r="AF12" s="6"/>
      <c r="AG12" s="6"/>
      <c r="AH12" s="6"/>
      <c r="AI12" s="6"/>
      <c r="AJ12" s="6"/>
      <c r="AK12" s="6"/>
      <c r="AL12" s="6"/>
      <c r="AM12" s="6"/>
      <c r="AN12" s="6"/>
      <c r="AO12" s="6"/>
      <c r="AP12" s="6"/>
      <c r="AQ12" s="6"/>
      <c r="AR12" s="6"/>
      <c r="AS12" s="6"/>
      <c r="AT12" s="6"/>
      <c r="AU12" s="6"/>
      <c r="AV12" s="6"/>
      <c r="AW12" s="6"/>
      <c r="AX12" s="6"/>
      <c r="AY12" s="6"/>
      <c r="AZ12" s="6"/>
      <c r="BA12" s="6"/>
      <c r="BB12" s="6"/>
      <c r="BC12" s="6"/>
      <c r="BD12" s="6"/>
      <c r="BE12" s="6"/>
      <c r="BF12" s="6"/>
      <c r="BG12" s="6"/>
      <c r="BH12" s="6"/>
      <c r="BI12" s="6"/>
      <c r="BJ12" s="6"/>
      <c r="BK12" s="6"/>
      <c r="BL12" s="6"/>
      <c r="BM12" s="6"/>
      <c r="BN12" s="6"/>
      <c r="BO12" s="6"/>
      <c r="BP12" s="6"/>
      <c r="BQ12" s="6"/>
      <c r="BR12" s="6"/>
      <c r="BS12" s="6"/>
      <c r="BT12" s="6"/>
      <c r="BU12" s="6"/>
      <c r="BV12" s="6"/>
      <c r="BW12" s="6"/>
      <c r="BX12" s="6"/>
      <c r="BY12" s="6"/>
      <c r="BZ12" s="6"/>
      <c r="CA12" s="6"/>
      <c r="CB12" s="6"/>
      <c r="CC12" s="6"/>
      <c r="CD12" s="6"/>
      <c r="CE12" s="6"/>
      <c r="CF12" s="6"/>
      <c r="CG12" s="6"/>
      <c r="CH12" s="6"/>
      <c r="CI12" s="6"/>
      <c r="CJ12" s="6"/>
      <c r="CK12" s="6"/>
      <c r="CL12" s="6"/>
      <c r="CM12" s="6"/>
      <c r="CN12" s="6"/>
      <c r="CO12" s="6"/>
      <c r="CP12" s="6"/>
      <c r="CQ12" s="6"/>
      <c r="CR12" s="6"/>
      <c r="CS12" s="6"/>
      <c r="CT12" s="6"/>
      <c r="CU12" s="6"/>
      <c r="CV12" s="6"/>
      <c r="CW12" s="6"/>
      <c r="CX12" s="6"/>
      <c r="CY12" s="6"/>
      <c r="CZ12" s="6"/>
      <c r="DA12" s="6"/>
      <c r="DB12" s="6"/>
      <c r="DC12" s="6"/>
      <c r="DD12" s="6"/>
      <c r="DE12" s="6"/>
      <c r="DF12" s="6"/>
      <c r="DG12" s="6"/>
      <c r="DH12" s="6"/>
      <c r="DI12" s="6"/>
      <c r="DJ12" s="6"/>
      <c r="DK12" s="6"/>
      <c r="DL12" s="6"/>
      <c r="DM12" s="6"/>
      <c r="DN12" s="6"/>
      <c r="DO12" s="6"/>
      <c r="DP12" s="6"/>
      <c r="DQ12" s="6"/>
      <c r="DR12" s="6"/>
      <c r="DS12" s="6"/>
      <c r="DT12" s="6"/>
      <c r="DU12" s="6"/>
      <c r="DV12" s="6"/>
      <c r="DW12" s="6"/>
      <c r="DX12" s="6"/>
      <c r="DY12" s="6"/>
      <c r="DZ12" s="6"/>
      <c r="EA12" s="6"/>
      <c r="EB12" s="6"/>
      <c r="EC12" s="6"/>
      <c r="ED12" s="6"/>
      <c r="EE12" s="6"/>
      <c r="EF12" s="6"/>
      <c r="EG12" s="6"/>
      <c r="EH12" s="6"/>
      <c r="EI12" s="6"/>
      <c r="EJ12" s="6"/>
      <c r="EK12" s="6"/>
      <c r="EL12" s="6"/>
      <c r="EM12" s="6"/>
      <c r="EN12" s="6"/>
      <c r="EO12" s="6"/>
      <c r="EP12" s="6"/>
      <c r="EQ12" s="6"/>
      <c r="ER12" s="6"/>
      <c r="ES12" s="6"/>
      <c r="ET12" s="6"/>
      <c r="EU12" s="6"/>
      <c r="EV12" s="6"/>
      <c r="EW12" s="6"/>
      <c r="EX12" s="6"/>
      <c r="EY12" s="6"/>
      <c r="EZ12" s="6"/>
      <c r="FA12" s="6"/>
      <c r="FB12" s="6"/>
      <c r="FC12" s="6"/>
      <c r="FD12" s="6"/>
      <c r="FE12" s="6"/>
      <c r="FF12" s="6"/>
      <c r="FG12" s="6"/>
      <c r="FH12" s="6"/>
      <c r="FI12" s="6"/>
      <c r="FJ12" s="6"/>
      <c r="FK12" s="6"/>
      <c r="FL12" s="6"/>
      <c r="FM12" s="6"/>
    </row>
    <row r="13" spans="1:169" x14ac:dyDescent="0.3">
      <c r="A13" s="6"/>
      <c r="B13" s="6"/>
      <c r="C13" s="6"/>
      <c r="D13" s="6"/>
      <c r="E13" s="6"/>
      <c r="F13" s="6"/>
      <c r="G13" s="6"/>
      <c r="H13" s="6"/>
      <c r="I13" s="6"/>
      <c r="J13" s="6"/>
      <c r="K13" s="6"/>
      <c r="L13" s="6"/>
      <c r="M13" s="6"/>
      <c r="N13" s="6"/>
      <c r="O13" s="6"/>
      <c r="P13" s="6"/>
      <c r="Q13" s="6"/>
      <c r="R13" s="6"/>
      <c r="S13" s="6"/>
      <c r="T13" s="6"/>
      <c r="U13" s="6"/>
      <c r="V13" s="6"/>
      <c r="W13" s="6"/>
      <c r="X13" s="6"/>
      <c r="Y13" s="6"/>
      <c r="Z13" s="6"/>
      <c r="AA13" s="6"/>
      <c r="AB13" s="6"/>
      <c r="AC13" s="6"/>
      <c r="AD13" s="6"/>
      <c r="AE13" s="6"/>
      <c r="AF13" s="6"/>
      <c r="AG13" s="6"/>
      <c r="AH13" s="6"/>
      <c r="AI13" s="6"/>
      <c r="AJ13" s="6"/>
      <c r="AK13" s="6"/>
      <c r="AL13" s="6"/>
      <c r="AM13" s="6"/>
      <c r="AN13" s="6"/>
      <c r="AO13" s="6"/>
      <c r="AP13" s="6"/>
      <c r="AQ13" s="6"/>
      <c r="AR13" s="6"/>
      <c r="AS13" s="6"/>
      <c r="AT13" s="6"/>
      <c r="AU13" s="6"/>
      <c r="AV13" s="6"/>
      <c r="AW13" s="6"/>
      <c r="AX13" s="6"/>
      <c r="AY13" s="6"/>
      <c r="AZ13" s="6"/>
      <c r="BA13" s="6"/>
      <c r="BB13" s="6"/>
      <c r="BC13" s="6"/>
      <c r="BD13" s="6"/>
      <c r="BE13" s="6"/>
      <c r="BF13" s="6"/>
      <c r="BG13" s="6"/>
      <c r="BH13" s="6"/>
      <c r="BI13" s="6"/>
      <c r="BJ13" s="6"/>
      <c r="BK13" s="6"/>
      <c r="BL13" s="6"/>
      <c r="BM13" s="6"/>
      <c r="BN13" s="6"/>
      <c r="BO13" s="6"/>
      <c r="BP13" s="6"/>
      <c r="BQ13" s="6"/>
      <c r="BR13" s="6"/>
      <c r="BS13" s="6"/>
      <c r="BT13" s="6"/>
      <c r="BU13" s="6"/>
      <c r="BV13" s="6"/>
      <c r="BW13" s="6"/>
      <c r="BX13" s="6"/>
      <c r="BY13" s="6"/>
      <c r="BZ13" s="6"/>
      <c r="CA13" s="6"/>
      <c r="CB13" s="6"/>
      <c r="CC13" s="6"/>
      <c r="CD13" s="6"/>
      <c r="CE13" s="6"/>
      <c r="CF13" s="6"/>
      <c r="CG13" s="6"/>
      <c r="CH13" s="6"/>
      <c r="CI13" s="6"/>
      <c r="CJ13" s="6"/>
      <c r="CK13" s="6"/>
      <c r="CL13" s="6"/>
      <c r="CM13" s="6"/>
      <c r="CN13" s="6"/>
      <c r="CO13" s="6"/>
      <c r="CP13" s="6"/>
      <c r="CQ13" s="6"/>
      <c r="CR13" s="6"/>
      <c r="CS13" s="6"/>
      <c r="CT13" s="6"/>
      <c r="CU13" s="6"/>
      <c r="CV13" s="6"/>
      <c r="CW13" s="6"/>
      <c r="CX13" s="6"/>
      <c r="CY13" s="6"/>
      <c r="CZ13" s="6"/>
      <c r="DA13" s="6"/>
      <c r="DB13" s="6"/>
      <c r="DC13" s="6"/>
      <c r="DD13" s="6"/>
      <c r="DE13" s="6"/>
      <c r="DF13" s="6"/>
      <c r="DG13" s="6"/>
      <c r="DH13" s="6"/>
      <c r="DI13" s="6"/>
      <c r="DJ13" s="6"/>
      <c r="DK13" s="6"/>
      <c r="DL13" s="6"/>
      <c r="DM13" s="6"/>
      <c r="DN13" s="6"/>
      <c r="DO13" s="6"/>
      <c r="DP13" s="6"/>
      <c r="DQ13" s="6"/>
      <c r="DR13" s="6"/>
      <c r="DS13" s="6"/>
      <c r="DT13" s="6"/>
      <c r="DU13" s="6"/>
      <c r="DV13" s="6"/>
      <c r="DW13" s="6"/>
      <c r="DX13" s="6"/>
      <c r="DY13" s="6"/>
      <c r="DZ13" s="6"/>
      <c r="EA13" s="6"/>
      <c r="EB13" s="6"/>
      <c r="EC13" s="6"/>
      <c r="ED13" s="6"/>
      <c r="EE13" s="6"/>
      <c r="EF13" s="6"/>
      <c r="EG13" s="6"/>
      <c r="EH13" s="6"/>
      <c r="EI13" s="6"/>
      <c r="EJ13" s="6"/>
      <c r="EK13" s="6"/>
      <c r="EL13" s="6"/>
      <c r="EM13" s="6"/>
      <c r="EN13" s="6"/>
      <c r="EO13" s="6"/>
      <c r="EP13" s="6"/>
      <c r="EQ13" s="6"/>
      <c r="ER13" s="6"/>
      <c r="ES13" s="6"/>
      <c r="ET13" s="6"/>
      <c r="EU13" s="6"/>
      <c r="EV13" s="6"/>
      <c r="EW13" s="6"/>
      <c r="EX13" s="6"/>
      <c r="EY13" s="6"/>
      <c r="EZ13" s="6"/>
      <c r="FA13" s="6"/>
      <c r="FB13" s="6"/>
      <c r="FC13" s="6"/>
      <c r="FD13" s="6"/>
      <c r="FE13" s="6"/>
      <c r="FF13" s="6"/>
      <c r="FG13" s="6"/>
      <c r="FH13" s="6"/>
      <c r="FI13" s="6"/>
      <c r="FJ13" s="6"/>
      <c r="FK13" s="6"/>
      <c r="FL13" s="6"/>
      <c r="FM13" s="6"/>
    </row>
    <row r="14" spans="1:169" x14ac:dyDescent="0.3">
      <c r="A14" s="6"/>
      <c r="B14" s="6"/>
      <c r="C14" s="6"/>
      <c r="D14" s="6"/>
      <c r="E14" s="6"/>
      <c r="F14" s="6"/>
      <c r="G14" s="6"/>
      <c r="H14" s="6"/>
      <c r="I14" s="6"/>
      <c r="J14" s="6"/>
      <c r="K14" s="6"/>
      <c r="L14" s="6"/>
      <c r="M14" s="6"/>
      <c r="N14" s="6"/>
      <c r="O14" s="6"/>
      <c r="P14" s="6"/>
      <c r="Q14" s="6"/>
      <c r="R14" s="6"/>
      <c r="S14" s="6"/>
      <c r="T14" s="6"/>
      <c r="U14" s="6"/>
      <c r="V14" s="6"/>
      <c r="W14" s="6"/>
      <c r="X14" s="6"/>
      <c r="Y14" s="6"/>
      <c r="Z14" s="6"/>
      <c r="AA14" s="6"/>
      <c r="AB14" s="6"/>
      <c r="AC14" s="6"/>
      <c r="AD14" s="6"/>
      <c r="AE14" s="6"/>
      <c r="AF14" s="6"/>
      <c r="AG14" s="6"/>
      <c r="AH14" s="6"/>
      <c r="AI14" s="6"/>
      <c r="AJ14" s="6"/>
      <c r="AK14" s="6"/>
      <c r="AL14" s="6"/>
      <c r="AM14" s="6"/>
      <c r="AN14" s="6"/>
      <c r="AO14" s="6"/>
      <c r="AP14" s="6"/>
      <c r="AQ14" s="6"/>
      <c r="AR14" s="6"/>
      <c r="AS14" s="6"/>
      <c r="AT14" s="6"/>
      <c r="AU14" s="6"/>
      <c r="AV14" s="6"/>
      <c r="AW14" s="6"/>
      <c r="AX14" s="6"/>
      <c r="AY14" s="6"/>
      <c r="AZ14" s="6"/>
      <c r="BA14" s="6"/>
      <c r="BB14" s="6"/>
      <c r="BC14" s="6"/>
      <c r="BD14" s="6"/>
      <c r="BE14" s="6"/>
      <c r="BF14" s="6"/>
      <c r="BG14" s="6"/>
      <c r="BH14" s="6"/>
      <c r="BI14" s="6"/>
      <c r="BJ14" s="6"/>
      <c r="BK14" s="6"/>
      <c r="BL14" s="6"/>
      <c r="BM14" s="6"/>
      <c r="BN14" s="6"/>
      <c r="BO14" s="6"/>
      <c r="BP14" s="6"/>
      <c r="BQ14" s="6"/>
      <c r="BR14" s="6"/>
      <c r="BS14" s="6"/>
      <c r="BT14" s="6"/>
      <c r="BU14" s="6"/>
      <c r="BV14" s="6"/>
      <c r="BW14" s="6"/>
      <c r="BX14" s="6"/>
      <c r="BY14" s="6"/>
      <c r="BZ14" s="6"/>
      <c r="CA14" s="6"/>
      <c r="CB14" s="6"/>
      <c r="CC14" s="6"/>
      <c r="CD14" s="6"/>
      <c r="CE14" s="6"/>
      <c r="CF14" s="6"/>
      <c r="CG14" s="6"/>
      <c r="CH14" s="6"/>
      <c r="CI14" s="6"/>
      <c r="CJ14" s="6"/>
      <c r="CK14" s="6"/>
      <c r="CL14" s="6"/>
      <c r="CM14" s="6"/>
      <c r="CN14" s="6"/>
      <c r="CO14" s="6"/>
      <c r="CP14" s="6"/>
      <c r="CQ14" s="6"/>
      <c r="CR14" s="6"/>
      <c r="CS14" s="6"/>
      <c r="CT14" s="6"/>
      <c r="CU14" s="6"/>
      <c r="CV14" s="6"/>
      <c r="CW14" s="6"/>
      <c r="CX14" s="6"/>
      <c r="CY14" s="6"/>
      <c r="CZ14" s="6"/>
      <c r="DA14" s="6"/>
      <c r="DB14" s="6"/>
      <c r="DC14" s="6"/>
      <c r="DD14" s="6"/>
      <c r="DE14" s="6"/>
      <c r="DF14" s="6"/>
      <c r="DG14" s="6"/>
      <c r="DH14" s="6"/>
      <c r="DI14" s="6"/>
      <c r="DJ14" s="6"/>
      <c r="DK14" s="6"/>
      <c r="DL14" s="6"/>
      <c r="DM14" s="6"/>
      <c r="DN14" s="6"/>
      <c r="DO14" s="6"/>
      <c r="DP14" s="6"/>
      <c r="DQ14" s="6"/>
      <c r="DR14" s="6"/>
      <c r="DS14" s="6"/>
      <c r="DT14" s="6"/>
      <c r="DU14" s="6"/>
      <c r="DV14" s="6"/>
      <c r="DW14" s="6"/>
      <c r="DX14" s="6"/>
      <c r="DY14" s="6"/>
      <c r="DZ14" s="6"/>
      <c r="EA14" s="6"/>
      <c r="EB14" s="6"/>
      <c r="EC14" s="6"/>
      <c r="ED14" s="6"/>
      <c r="EE14" s="6"/>
      <c r="EF14" s="6"/>
      <c r="EG14" s="6"/>
      <c r="EH14" s="6"/>
      <c r="EI14" s="6"/>
      <c r="EJ14" s="6"/>
      <c r="EK14" s="6"/>
      <c r="EL14" s="6"/>
      <c r="EM14" s="6"/>
      <c r="EN14" s="6"/>
      <c r="EO14" s="6"/>
      <c r="EP14" s="6"/>
      <c r="EQ14" s="6"/>
      <c r="ER14" s="6"/>
      <c r="ES14" s="6"/>
      <c r="ET14" s="6"/>
      <c r="EU14" s="6"/>
      <c r="EV14" s="6"/>
      <c r="EW14" s="6"/>
      <c r="EX14" s="6"/>
      <c r="EY14" s="6"/>
      <c r="EZ14" s="6"/>
      <c r="FA14" s="6"/>
      <c r="FB14" s="6"/>
      <c r="FC14" s="6"/>
      <c r="FD14" s="6"/>
      <c r="FE14" s="6"/>
      <c r="FF14" s="6"/>
      <c r="FG14" s="6"/>
      <c r="FH14" s="6"/>
      <c r="FI14" s="6"/>
      <c r="FJ14" s="6"/>
      <c r="FK14" s="6"/>
      <c r="FL14" s="6"/>
      <c r="FM14" s="6"/>
    </row>
    <row r="15" spans="1:169" x14ac:dyDescent="0.3">
      <c r="A15" s="6"/>
      <c r="B15" s="6"/>
      <c r="C15" s="6"/>
      <c r="D15" s="6"/>
      <c r="E15" s="6"/>
      <c r="F15" s="6"/>
      <c r="G15" s="6"/>
      <c r="H15" s="6"/>
      <c r="I15" s="6"/>
      <c r="J15" s="6"/>
      <c r="K15" s="6"/>
      <c r="L15" s="6"/>
      <c r="M15" s="6"/>
      <c r="N15" s="6"/>
      <c r="O15" s="6"/>
      <c r="P15" s="6"/>
      <c r="Q15" s="6"/>
      <c r="R15" s="6"/>
      <c r="S15" s="6"/>
      <c r="T15" s="6"/>
      <c r="U15" s="6"/>
      <c r="V15" s="6"/>
      <c r="W15" s="6"/>
      <c r="X15" s="6"/>
      <c r="Y15" s="6"/>
      <c r="Z15" s="6"/>
      <c r="AA15" s="6"/>
      <c r="AB15" s="6"/>
      <c r="AC15" s="6"/>
      <c r="AD15" s="6"/>
      <c r="AE15" s="6"/>
      <c r="AF15" s="6"/>
      <c r="AG15" s="6"/>
      <c r="AH15" s="6"/>
      <c r="AI15" s="6"/>
      <c r="AJ15" s="6"/>
      <c r="AK15" s="6"/>
      <c r="AL15" s="6"/>
      <c r="AM15" s="6"/>
      <c r="AN15" s="6"/>
      <c r="AO15" s="6"/>
      <c r="AP15" s="6"/>
      <c r="AQ15" s="6"/>
      <c r="AR15" s="6"/>
      <c r="AS15" s="6"/>
      <c r="AT15" s="6"/>
      <c r="AU15" s="6"/>
      <c r="AV15" s="6"/>
      <c r="AW15" s="6"/>
      <c r="AX15" s="6"/>
      <c r="AY15" s="6"/>
      <c r="AZ15" s="6"/>
      <c r="BA15" s="6"/>
      <c r="BB15" s="6"/>
      <c r="BC15" s="6"/>
      <c r="BD15" s="6"/>
      <c r="BE15" s="6"/>
      <c r="BF15" s="6"/>
      <c r="BG15" s="6"/>
      <c r="BH15" s="6"/>
      <c r="BI15" s="6"/>
      <c r="BJ15" s="6"/>
      <c r="BK15" s="6"/>
      <c r="BL15" s="6"/>
      <c r="BM15" s="6"/>
      <c r="BN15" s="6"/>
      <c r="BO15" s="6"/>
      <c r="BP15" s="6"/>
      <c r="BQ15" s="6"/>
      <c r="BR15" s="6"/>
      <c r="BS15" s="6"/>
      <c r="BT15" s="6"/>
      <c r="BU15" s="6"/>
      <c r="BV15" s="6"/>
      <c r="BW15" s="6"/>
      <c r="BX15" s="6"/>
      <c r="BY15" s="6"/>
      <c r="BZ15" s="6"/>
      <c r="CA15" s="6"/>
      <c r="CB15" s="6"/>
      <c r="CC15" s="6"/>
      <c r="CD15" s="6"/>
      <c r="CE15" s="6"/>
      <c r="CF15" s="6"/>
      <c r="CG15" s="6"/>
      <c r="CH15" s="6"/>
      <c r="CI15" s="6"/>
      <c r="CJ15" s="6"/>
      <c r="CK15" s="6"/>
      <c r="CL15" s="6"/>
      <c r="CM15" s="6"/>
      <c r="CN15" s="6"/>
      <c r="CO15" s="6"/>
      <c r="CP15" s="6"/>
      <c r="CQ15" s="6"/>
      <c r="CR15" s="6"/>
      <c r="CS15" s="6"/>
      <c r="CT15" s="6"/>
      <c r="CU15" s="6"/>
      <c r="CV15" s="6"/>
      <c r="CW15" s="6"/>
      <c r="CX15" s="6"/>
      <c r="CY15" s="6"/>
      <c r="CZ15" s="6"/>
      <c r="DA15" s="6"/>
      <c r="DB15" s="6"/>
      <c r="DC15" s="6"/>
      <c r="DD15" s="6"/>
      <c r="DE15" s="6"/>
      <c r="DF15" s="6"/>
      <c r="DG15" s="6"/>
      <c r="DH15" s="6"/>
      <c r="DI15" s="6"/>
      <c r="DJ15" s="6"/>
      <c r="DK15" s="6"/>
      <c r="DL15" s="6"/>
      <c r="DM15" s="6"/>
      <c r="DN15" s="6"/>
      <c r="DO15" s="6"/>
      <c r="DP15" s="6"/>
      <c r="DQ15" s="6"/>
      <c r="DR15" s="6"/>
      <c r="DS15" s="6"/>
      <c r="DT15" s="6"/>
      <c r="DU15" s="6"/>
      <c r="DV15" s="6"/>
      <c r="DW15" s="6"/>
      <c r="DX15" s="6"/>
      <c r="DY15" s="6"/>
      <c r="DZ15" s="6"/>
      <c r="EA15" s="6"/>
      <c r="EB15" s="6"/>
      <c r="EC15" s="6"/>
      <c r="ED15" s="6"/>
      <c r="EE15" s="6"/>
      <c r="EF15" s="6"/>
      <c r="EG15" s="6"/>
      <c r="EH15" s="6"/>
      <c r="EI15" s="6"/>
      <c r="EJ15" s="6"/>
      <c r="EK15" s="6"/>
      <c r="EL15" s="6"/>
      <c r="EM15" s="6"/>
      <c r="EN15" s="6"/>
      <c r="EO15" s="6"/>
      <c r="EP15" s="6"/>
      <c r="EQ15" s="6"/>
      <c r="ER15" s="6"/>
      <c r="ES15" s="6"/>
      <c r="ET15" s="6"/>
      <c r="EU15" s="6"/>
      <c r="EV15" s="6"/>
      <c r="EW15" s="6"/>
      <c r="EX15" s="6"/>
      <c r="EY15" s="6"/>
      <c r="EZ15" s="6"/>
      <c r="FA15" s="6"/>
      <c r="FB15" s="6"/>
      <c r="FC15" s="6"/>
      <c r="FD15" s="6"/>
      <c r="FE15" s="6"/>
      <c r="FF15" s="6"/>
      <c r="FG15" s="6"/>
      <c r="FH15" s="6"/>
      <c r="FI15" s="6"/>
      <c r="FJ15" s="6"/>
      <c r="FK15" s="6"/>
      <c r="FL15" s="6"/>
      <c r="FM15" s="6"/>
    </row>
    <row r="16" spans="1:169" x14ac:dyDescent="0.3">
      <c r="A16" s="6"/>
      <c r="B16" s="6"/>
      <c r="C16" s="6"/>
      <c r="D16" s="6"/>
      <c r="E16" s="6"/>
      <c r="F16" s="6"/>
      <c r="G16" s="6"/>
      <c r="H16" s="6"/>
      <c r="I16" s="6"/>
      <c r="J16" s="6"/>
      <c r="K16" s="6"/>
      <c r="L16" s="6"/>
      <c r="M16" s="6"/>
      <c r="N16" s="6"/>
      <c r="O16" s="6"/>
      <c r="P16" s="6"/>
      <c r="Q16" s="6"/>
      <c r="R16" s="6"/>
      <c r="S16" s="6"/>
      <c r="T16" s="6"/>
      <c r="U16" s="6"/>
      <c r="V16" s="6"/>
      <c r="W16" s="6"/>
      <c r="X16" s="6"/>
      <c r="Y16" s="6"/>
      <c r="Z16" s="6"/>
      <c r="AA16" s="6"/>
      <c r="AB16" s="6"/>
      <c r="AC16" s="6"/>
      <c r="AD16" s="6"/>
      <c r="AE16" s="6"/>
      <c r="AF16" s="6"/>
      <c r="AG16" s="6"/>
      <c r="AH16" s="6"/>
      <c r="AI16" s="6"/>
      <c r="AJ16" s="6"/>
      <c r="AK16" s="6"/>
      <c r="AL16" s="6"/>
      <c r="AM16" s="6"/>
      <c r="AN16" s="6"/>
      <c r="AO16" s="6"/>
      <c r="AP16" s="6"/>
      <c r="AQ16" s="6"/>
      <c r="AR16" s="6"/>
      <c r="AS16" s="6"/>
      <c r="AT16" s="6"/>
      <c r="AU16" s="6"/>
      <c r="AV16" s="6"/>
      <c r="AW16" s="6"/>
      <c r="AX16" s="6"/>
      <c r="AY16" s="6"/>
      <c r="AZ16" s="6"/>
      <c r="BA16" s="6"/>
      <c r="BB16" s="6"/>
      <c r="BC16" s="6"/>
      <c r="BD16" s="6"/>
      <c r="BE16" s="6"/>
      <c r="BF16" s="6"/>
      <c r="BG16" s="6"/>
      <c r="BH16" s="6"/>
      <c r="BI16" s="6"/>
      <c r="BJ16" s="6"/>
      <c r="BK16" s="6"/>
      <c r="BL16" s="6"/>
      <c r="BM16" s="6"/>
      <c r="BN16" s="6"/>
      <c r="BO16" s="6"/>
      <c r="BP16" s="6"/>
      <c r="BQ16" s="6"/>
      <c r="BR16" s="6"/>
      <c r="BS16" s="6"/>
      <c r="BT16" s="6"/>
      <c r="BU16" s="6"/>
      <c r="BV16" s="6"/>
      <c r="BW16" s="6"/>
      <c r="BX16" s="6"/>
      <c r="BY16" s="6"/>
      <c r="BZ16" s="6"/>
      <c r="CA16" s="6"/>
      <c r="CB16" s="6"/>
      <c r="CC16" s="6"/>
      <c r="CD16" s="6"/>
      <c r="CE16" s="6"/>
      <c r="CF16" s="6"/>
      <c r="CG16" s="6"/>
      <c r="CH16" s="6"/>
      <c r="CI16" s="6"/>
      <c r="CJ16" s="6"/>
      <c r="CK16" s="6"/>
      <c r="CL16" s="6"/>
      <c r="CM16" s="6"/>
      <c r="CN16" s="6"/>
      <c r="CO16" s="6"/>
      <c r="CP16" s="6"/>
      <c r="CQ16" s="6"/>
      <c r="CR16" s="6"/>
      <c r="CS16" s="6"/>
      <c r="CT16" s="6"/>
      <c r="CU16" s="6"/>
      <c r="CV16" s="6"/>
      <c r="CW16" s="6"/>
      <c r="CX16" s="6"/>
      <c r="CY16" s="6"/>
      <c r="CZ16" s="6"/>
      <c r="DA16" s="6"/>
      <c r="DB16" s="6"/>
      <c r="DC16" s="6"/>
      <c r="DD16" s="6"/>
      <c r="DE16" s="6"/>
      <c r="DF16" s="6"/>
      <c r="DG16" s="6"/>
      <c r="DH16" s="6"/>
      <c r="DI16" s="6"/>
      <c r="DJ16" s="6"/>
      <c r="DK16" s="6"/>
      <c r="DL16" s="6"/>
      <c r="DM16" s="6"/>
      <c r="DN16" s="6"/>
      <c r="DO16" s="6"/>
      <c r="DP16" s="6"/>
      <c r="DQ16" s="6"/>
      <c r="DR16" s="6"/>
      <c r="DS16" s="6"/>
      <c r="DT16" s="6"/>
      <c r="DU16" s="6"/>
      <c r="DV16" s="6"/>
      <c r="DW16" s="6"/>
      <c r="DX16" s="6"/>
      <c r="DY16" s="6"/>
      <c r="DZ16" s="6"/>
      <c r="EA16" s="6"/>
      <c r="EB16" s="6"/>
      <c r="EC16" s="6"/>
      <c r="ED16" s="6"/>
      <c r="EE16" s="6"/>
      <c r="EF16" s="6"/>
      <c r="EG16" s="6"/>
      <c r="EH16" s="6"/>
      <c r="EI16" s="6"/>
      <c r="EJ16" s="6"/>
      <c r="EK16" s="6"/>
      <c r="EL16" s="6"/>
      <c r="EM16" s="6"/>
      <c r="EN16" s="6"/>
      <c r="EO16" s="6"/>
      <c r="EP16" s="6"/>
      <c r="EQ16" s="6"/>
      <c r="ER16" s="6"/>
      <c r="ES16" s="6"/>
      <c r="ET16" s="6"/>
      <c r="EU16" s="6"/>
      <c r="EV16" s="6"/>
      <c r="EW16" s="6"/>
      <c r="EX16" s="6"/>
      <c r="EY16" s="6"/>
      <c r="EZ16" s="6"/>
      <c r="FA16" s="6"/>
      <c r="FB16" s="6"/>
      <c r="FC16" s="6"/>
      <c r="FD16" s="6"/>
      <c r="FE16" s="6"/>
      <c r="FF16" s="6"/>
      <c r="FG16" s="6"/>
      <c r="FH16" s="6"/>
      <c r="FI16" s="6"/>
      <c r="FJ16" s="6"/>
      <c r="FK16" s="6"/>
      <c r="FL16" s="6"/>
      <c r="FM16" s="6"/>
    </row>
    <row r="17" spans="1:169" x14ac:dyDescent="0.3">
      <c r="A17" s="6"/>
      <c r="B17" s="6"/>
      <c r="C17" s="6"/>
      <c r="D17" s="6"/>
      <c r="E17" s="6"/>
      <c r="F17" s="6"/>
      <c r="G17" s="6"/>
      <c r="H17" s="6"/>
      <c r="I17" s="6"/>
      <c r="J17" s="6"/>
      <c r="K17" s="6"/>
      <c r="L17" s="6"/>
      <c r="M17" s="6"/>
      <c r="N17" s="6"/>
      <c r="O17" s="6"/>
      <c r="P17" s="6"/>
      <c r="Q17" s="6"/>
      <c r="R17" s="6"/>
      <c r="S17" s="6"/>
      <c r="T17" s="6"/>
      <c r="U17" s="6"/>
      <c r="V17" s="6"/>
      <c r="W17" s="6"/>
      <c r="X17" s="6"/>
      <c r="Y17" s="6"/>
      <c r="Z17" s="6"/>
      <c r="AA17" s="6"/>
      <c r="AB17" s="6"/>
      <c r="AC17" s="6"/>
      <c r="AD17" s="6"/>
      <c r="AE17" s="6"/>
      <c r="AF17" s="6"/>
      <c r="AG17" s="6"/>
      <c r="AH17" s="6"/>
      <c r="AI17" s="6"/>
      <c r="AJ17" s="6"/>
      <c r="AK17" s="6"/>
      <c r="AL17" s="6"/>
      <c r="AM17" s="6"/>
      <c r="AN17" s="6"/>
      <c r="AO17" s="6"/>
      <c r="AP17" s="6"/>
      <c r="AQ17" s="6"/>
      <c r="AR17" s="6"/>
      <c r="AS17" s="6"/>
      <c r="AT17" s="6"/>
      <c r="AU17" s="6"/>
      <c r="AV17" s="6"/>
      <c r="AW17" s="6"/>
      <c r="AX17" s="6"/>
      <c r="AY17" s="6"/>
      <c r="AZ17" s="6"/>
      <c r="BA17" s="6"/>
      <c r="BB17" s="6"/>
      <c r="BC17" s="6"/>
      <c r="BD17" s="6"/>
      <c r="BE17" s="6"/>
      <c r="BF17" s="6"/>
      <c r="BG17" s="6"/>
      <c r="BH17" s="6"/>
      <c r="BI17" s="6"/>
      <c r="BJ17" s="6"/>
      <c r="BK17" s="6"/>
      <c r="BL17" s="6"/>
      <c r="BM17" s="6"/>
      <c r="BN17" s="6"/>
      <c r="BO17" s="6"/>
      <c r="BP17" s="6"/>
      <c r="BQ17" s="6"/>
      <c r="BR17" s="6"/>
      <c r="BS17" s="6"/>
      <c r="BT17" s="6"/>
      <c r="BU17" s="6"/>
      <c r="BV17" s="6"/>
      <c r="BW17" s="6"/>
      <c r="BX17" s="6"/>
      <c r="BY17" s="6"/>
      <c r="BZ17" s="6"/>
      <c r="CA17" s="6"/>
      <c r="CB17" s="6"/>
      <c r="CC17" s="6"/>
      <c r="CD17" s="6"/>
      <c r="CE17" s="6"/>
      <c r="CF17" s="6"/>
      <c r="CG17" s="6"/>
      <c r="CH17" s="6"/>
      <c r="CI17" s="6"/>
      <c r="CJ17" s="6"/>
      <c r="CK17" s="6"/>
      <c r="CL17" s="6"/>
      <c r="CM17" s="6"/>
      <c r="CN17" s="6"/>
      <c r="CO17" s="6"/>
      <c r="CP17" s="6"/>
      <c r="CQ17" s="6"/>
      <c r="CR17" s="6"/>
      <c r="CS17" s="6"/>
      <c r="CT17" s="6"/>
      <c r="CU17" s="6"/>
      <c r="CV17" s="6"/>
      <c r="CW17" s="6"/>
      <c r="CX17" s="6"/>
      <c r="CY17" s="6"/>
      <c r="CZ17" s="6"/>
      <c r="DA17" s="6"/>
      <c r="DB17" s="6"/>
      <c r="DC17" s="6"/>
      <c r="DD17" s="6"/>
      <c r="DE17" s="6"/>
      <c r="DF17" s="6"/>
      <c r="DG17" s="6"/>
      <c r="DH17" s="6"/>
      <c r="DI17" s="6"/>
      <c r="DJ17" s="6"/>
      <c r="DK17" s="6"/>
      <c r="DL17" s="6"/>
      <c r="DM17" s="6"/>
      <c r="DN17" s="6"/>
      <c r="DO17" s="6"/>
      <c r="DP17" s="6"/>
      <c r="DQ17" s="6"/>
      <c r="DR17" s="6"/>
      <c r="DS17" s="6"/>
      <c r="DT17" s="6"/>
      <c r="DU17" s="6"/>
      <c r="DV17" s="6"/>
      <c r="DW17" s="6"/>
      <c r="DX17" s="6"/>
      <c r="DY17" s="6"/>
      <c r="DZ17" s="6"/>
      <c r="EA17" s="6"/>
      <c r="EB17" s="6"/>
      <c r="EC17" s="6"/>
      <c r="ED17" s="6"/>
      <c r="EE17" s="6"/>
      <c r="EF17" s="6"/>
      <c r="EG17" s="6"/>
      <c r="EH17" s="6"/>
      <c r="EI17" s="6"/>
      <c r="EJ17" s="6"/>
      <c r="EK17" s="6"/>
      <c r="EL17" s="6"/>
      <c r="EM17" s="6"/>
      <c r="EN17" s="6"/>
      <c r="EO17" s="6"/>
      <c r="EP17" s="6"/>
      <c r="EQ17" s="6"/>
      <c r="ER17" s="6"/>
      <c r="ES17" s="6"/>
      <c r="ET17" s="6"/>
      <c r="EU17" s="6"/>
      <c r="EV17" s="6"/>
      <c r="EW17" s="6"/>
      <c r="EX17" s="6"/>
      <c r="EY17" s="6"/>
      <c r="EZ17" s="6"/>
      <c r="FA17" s="6"/>
      <c r="FB17" s="6"/>
      <c r="FC17" s="6"/>
      <c r="FD17" s="6"/>
      <c r="FE17" s="6"/>
      <c r="FF17" s="6"/>
      <c r="FG17" s="6"/>
      <c r="FH17" s="6"/>
      <c r="FI17" s="6"/>
      <c r="FJ17" s="6"/>
      <c r="FK17" s="6"/>
      <c r="FL17" s="6"/>
      <c r="FM17" s="6"/>
    </row>
    <row r="18" spans="1:169" x14ac:dyDescent="0.3">
      <c r="A18" s="6"/>
      <c r="B18" s="6"/>
      <c r="C18" s="6"/>
      <c r="D18" s="6"/>
      <c r="E18" s="6"/>
      <c r="F18" s="6"/>
      <c r="G18" s="6"/>
      <c r="H18" s="6"/>
      <c r="I18" s="6"/>
      <c r="J18" s="6"/>
      <c r="K18" s="6"/>
      <c r="L18" s="6"/>
      <c r="M18" s="6"/>
      <c r="N18" s="6"/>
      <c r="O18" s="6"/>
      <c r="P18" s="6"/>
      <c r="Q18" s="6"/>
      <c r="R18" s="6"/>
      <c r="S18" s="6"/>
      <c r="T18" s="6"/>
      <c r="U18" s="6"/>
      <c r="V18" s="6"/>
      <c r="W18" s="6"/>
      <c r="X18" s="6"/>
      <c r="Y18" s="6"/>
      <c r="Z18" s="6"/>
      <c r="AA18" s="6"/>
      <c r="AB18" s="6"/>
      <c r="AC18" s="6"/>
      <c r="AD18" s="6"/>
      <c r="AE18" s="6"/>
      <c r="AF18" s="6"/>
      <c r="AG18" s="6"/>
      <c r="AH18" s="6"/>
      <c r="AI18" s="6"/>
      <c r="AJ18" s="6"/>
      <c r="AK18" s="6"/>
      <c r="AL18" s="6"/>
      <c r="AM18" s="6"/>
      <c r="AN18" s="6"/>
      <c r="AO18" s="6"/>
      <c r="AP18" s="6"/>
      <c r="AQ18" s="6"/>
      <c r="AR18" s="6"/>
      <c r="AS18" s="6"/>
      <c r="AT18" s="6"/>
      <c r="AU18" s="6"/>
      <c r="AV18" s="6"/>
      <c r="AW18" s="6"/>
      <c r="AX18" s="6"/>
      <c r="AY18" s="6"/>
      <c r="AZ18" s="6"/>
      <c r="BA18" s="6"/>
      <c r="BB18" s="6"/>
      <c r="BC18" s="6"/>
      <c r="BD18" s="6"/>
      <c r="BE18" s="6"/>
      <c r="BF18" s="6"/>
      <c r="BG18" s="6"/>
      <c r="BH18" s="6"/>
      <c r="BI18" s="6"/>
      <c r="BJ18" s="6"/>
      <c r="BK18" s="6"/>
      <c r="BL18" s="6"/>
      <c r="BM18" s="6"/>
      <c r="BN18" s="6"/>
      <c r="BO18" s="6"/>
      <c r="BP18" s="6"/>
      <c r="BQ18" s="6"/>
      <c r="BR18" s="6"/>
      <c r="BS18" s="6"/>
      <c r="BT18" s="6"/>
      <c r="BU18" s="6"/>
      <c r="BV18" s="6"/>
      <c r="BW18" s="6"/>
      <c r="BX18" s="6"/>
      <c r="BY18" s="6"/>
      <c r="BZ18" s="6"/>
      <c r="CA18" s="6"/>
      <c r="CB18" s="6"/>
      <c r="CC18" s="6"/>
      <c r="CD18" s="6"/>
      <c r="CE18" s="6"/>
      <c r="CF18" s="6"/>
      <c r="CG18" s="6"/>
      <c r="CH18" s="6"/>
      <c r="CI18" s="6"/>
      <c r="CJ18" s="6"/>
      <c r="CK18" s="6"/>
      <c r="CL18" s="6"/>
      <c r="CM18" s="6"/>
      <c r="CN18" s="6"/>
      <c r="CO18" s="6"/>
      <c r="CP18" s="6"/>
      <c r="CQ18" s="6"/>
      <c r="CR18" s="6"/>
      <c r="CS18" s="6"/>
      <c r="CT18" s="6"/>
      <c r="CU18" s="6"/>
      <c r="CV18" s="6"/>
      <c r="CW18" s="6"/>
      <c r="CX18" s="6"/>
      <c r="CY18" s="6"/>
      <c r="CZ18" s="6"/>
      <c r="DA18" s="6"/>
      <c r="DB18" s="6"/>
      <c r="DC18" s="6"/>
      <c r="DD18" s="6"/>
      <c r="DE18" s="6"/>
      <c r="DF18" s="6"/>
      <c r="DG18" s="6"/>
      <c r="DH18" s="6"/>
      <c r="DI18" s="6"/>
      <c r="DJ18" s="6"/>
      <c r="DK18" s="6"/>
      <c r="DL18" s="6"/>
      <c r="DM18" s="6"/>
      <c r="DN18" s="6"/>
      <c r="DO18" s="6"/>
      <c r="DP18" s="6"/>
      <c r="DQ18" s="6"/>
      <c r="DR18" s="6"/>
      <c r="DS18" s="6"/>
      <c r="DT18" s="6"/>
      <c r="DU18" s="6"/>
      <c r="DV18" s="6"/>
      <c r="DW18" s="6"/>
      <c r="DX18" s="6"/>
      <c r="DY18" s="6"/>
      <c r="DZ18" s="6"/>
      <c r="EA18" s="6"/>
      <c r="EB18" s="6"/>
      <c r="EC18" s="6"/>
      <c r="ED18" s="6"/>
      <c r="EE18" s="6"/>
      <c r="EF18" s="6"/>
      <c r="EG18" s="6"/>
      <c r="EH18" s="6"/>
      <c r="EI18" s="6"/>
      <c r="EJ18" s="6"/>
      <c r="EK18" s="6"/>
      <c r="EL18" s="6"/>
      <c r="EM18" s="6"/>
      <c r="EN18" s="6"/>
      <c r="EO18" s="6"/>
      <c r="EP18" s="6"/>
      <c r="EQ18" s="6"/>
      <c r="ER18" s="6"/>
      <c r="ES18" s="6"/>
      <c r="ET18" s="6"/>
      <c r="EU18" s="6"/>
      <c r="EV18" s="6"/>
      <c r="EW18" s="6"/>
      <c r="EX18" s="6"/>
      <c r="EY18" s="6"/>
      <c r="EZ18" s="6"/>
      <c r="FA18" s="6"/>
      <c r="FB18" s="6"/>
      <c r="FC18" s="6"/>
      <c r="FD18" s="6"/>
      <c r="FE18" s="6"/>
      <c r="FF18" s="6"/>
      <c r="FG18" s="6"/>
      <c r="FH18" s="6"/>
      <c r="FI18" s="6"/>
      <c r="FJ18" s="6"/>
      <c r="FK18" s="6"/>
      <c r="FL18" s="6"/>
      <c r="FM18" s="6"/>
    </row>
    <row r="19" spans="1:169" x14ac:dyDescent="0.3">
      <c r="A19" s="6"/>
      <c r="B19" s="6"/>
      <c r="C19" s="6"/>
      <c r="D19" s="6"/>
      <c r="E19" s="6"/>
      <c r="F19" s="6"/>
      <c r="G19" s="6"/>
      <c r="H19" s="6"/>
      <c r="I19" s="6"/>
      <c r="J19" s="6"/>
      <c r="K19" s="6"/>
      <c r="L19" s="6"/>
      <c r="M19" s="6"/>
      <c r="N19" s="6"/>
      <c r="O19" s="6"/>
      <c r="P19" s="6"/>
      <c r="Q19" s="6"/>
      <c r="R19" s="6"/>
      <c r="S19" s="6"/>
      <c r="T19" s="6"/>
      <c r="U19" s="6"/>
      <c r="V19" s="6"/>
      <c r="W19" s="6"/>
      <c r="X19" s="6"/>
      <c r="Y19" s="6"/>
      <c r="Z19" s="6"/>
      <c r="AA19" s="6"/>
      <c r="AB19" s="6"/>
      <c r="AC19" s="6"/>
      <c r="AD19" s="6"/>
      <c r="AE19" s="6"/>
      <c r="AF19" s="6"/>
      <c r="AG19" s="6"/>
      <c r="AH19" s="6"/>
      <c r="AI19" s="6"/>
      <c r="AJ19" s="6"/>
      <c r="AK19" s="6"/>
      <c r="AL19" s="6"/>
      <c r="AM19" s="6"/>
      <c r="AN19" s="6"/>
      <c r="AO19" s="6"/>
      <c r="AP19" s="6"/>
      <c r="AQ19" s="6"/>
      <c r="AR19" s="6"/>
      <c r="AS19" s="6"/>
      <c r="AT19" s="6"/>
      <c r="AU19" s="6"/>
      <c r="AV19" s="6"/>
      <c r="AW19" s="6"/>
      <c r="AX19" s="6"/>
      <c r="AY19" s="6"/>
      <c r="AZ19" s="6"/>
      <c r="BA19" s="6"/>
      <c r="BB19" s="6"/>
      <c r="BC19" s="6"/>
      <c r="BD19" s="6"/>
      <c r="BE19" s="6"/>
      <c r="BF19" s="6"/>
      <c r="BG19" s="6"/>
      <c r="BH19" s="6"/>
      <c r="BI19" s="6"/>
      <c r="BJ19" s="6"/>
      <c r="BK19" s="6"/>
      <c r="BL19" s="6"/>
      <c r="BM19" s="6"/>
      <c r="BN19" s="6"/>
      <c r="BO19" s="6"/>
      <c r="BP19" s="6"/>
      <c r="BQ19" s="6"/>
      <c r="BR19" s="6"/>
      <c r="BS19" s="6"/>
      <c r="BT19" s="6"/>
      <c r="BU19" s="6"/>
      <c r="BV19" s="6"/>
      <c r="BW19" s="6"/>
      <c r="BX19" s="6"/>
      <c r="BY19" s="6"/>
      <c r="BZ19" s="6"/>
      <c r="CA19" s="6"/>
      <c r="CB19" s="6"/>
      <c r="CC19" s="6"/>
      <c r="CD19" s="6"/>
      <c r="CE19" s="6"/>
      <c r="CF19" s="6"/>
      <c r="CG19" s="6"/>
      <c r="CH19" s="6"/>
      <c r="CI19" s="6"/>
      <c r="CJ19" s="6"/>
      <c r="CK19" s="6"/>
      <c r="CL19" s="6"/>
      <c r="CM19" s="6"/>
      <c r="CN19" s="6"/>
      <c r="CO19" s="6"/>
      <c r="CP19" s="6"/>
      <c r="CQ19" s="6"/>
      <c r="CR19" s="6"/>
      <c r="CS19" s="6"/>
      <c r="CT19" s="6"/>
      <c r="CU19" s="6"/>
      <c r="CV19" s="6"/>
      <c r="CW19" s="6"/>
      <c r="CX19" s="6"/>
      <c r="CY19" s="6"/>
      <c r="CZ19" s="6"/>
      <c r="DA19" s="6"/>
      <c r="DB19" s="6"/>
      <c r="DC19" s="6"/>
      <c r="DD19" s="6"/>
      <c r="DE19" s="6"/>
      <c r="DF19" s="6"/>
      <c r="DG19" s="6"/>
      <c r="DH19" s="6"/>
      <c r="DI19" s="6"/>
      <c r="DJ19" s="6"/>
      <c r="DK19" s="6"/>
      <c r="DL19" s="6"/>
      <c r="DM19" s="6"/>
      <c r="DN19" s="6"/>
      <c r="DO19" s="6"/>
      <c r="DP19" s="6"/>
      <c r="DQ19" s="6"/>
      <c r="DR19" s="6"/>
      <c r="DS19" s="6"/>
      <c r="DT19" s="6"/>
      <c r="DU19" s="6"/>
      <c r="DV19" s="6"/>
      <c r="DW19" s="6"/>
      <c r="DX19" s="6"/>
      <c r="DY19" s="6"/>
      <c r="DZ19" s="6"/>
      <c r="EA19" s="6"/>
      <c r="EB19" s="6"/>
      <c r="EC19" s="6"/>
      <c r="ED19" s="6"/>
      <c r="EE19" s="6"/>
      <c r="EF19" s="6"/>
      <c r="EG19" s="6"/>
      <c r="EH19" s="6"/>
      <c r="EI19" s="6"/>
      <c r="EJ19" s="6"/>
      <c r="EK19" s="6"/>
      <c r="EL19" s="6"/>
      <c r="EM19" s="6"/>
      <c r="EN19" s="6"/>
      <c r="EO19" s="6"/>
      <c r="EP19" s="6"/>
      <c r="EQ19" s="6"/>
      <c r="ER19" s="6"/>
      <c r="ES19" s="6"/>
      <c r="ET19" s="6"/>
      <c r="EU19" s="6"/>
      <c r="EV19" s="6"/>
      <c r="EW19" s="6"/>
      <c r="EX19" s="6"/>
      <c r="EY19" s="6"/>
      <c r="EZ19" s="6"/>
      <c r="FA19" s="6"/>
      <c r="FB19" s="6"/>
      <c r="FC19" s="6"/>
      <c r="FD19" s="6"/>
      <c r="FE19" s="6"/>
      <c r="FF19" s="6"/>
      <c r="FG19" s="6"/>
      <c r="FH19" s="6"/>
      <c r="FI19" s="6"/>
      <c r="FJ19" s="6"/>
      <c r="FK19" s="6"/>
      <c r="FL19" s="6"/>
      <c r="FM19" s="6"/>
    </row>
    <row r="20" spans="1:169" x14ac:dyDescent="0.3">
      <c r="A20" s="6"/>
      <c r="B20" s="6"/>
      <c r="C20" s="6"/>
      <c r="D20" s="6"/>
      <c r="E20" s="6"/>
      <c r="F20" s="6"/>
      <c r="G20" s="6"/>
      <c r="H20" s="6"/>
      <c r="I20" s="6"/>
      <c r="J20" s="6"/>
      <c r="K20" s="6"/>
      <c r="L20" s="6"/>
      <c r="M20" s="6"/>
      <c r="N20" s="6"/>
      <c r="O20" s="6"/>
      <c r="P20" s="6"/>
      <c r="Q20" s="6"/>
      <c r="R20" s="6"/>
      <c r="S20" s="6"/>
      <c r="T20" s="6"/>
      <c r="U20" s="6"/>
      <c r="V20" s="6"/>
      <c r="W20" s="6"/>
      <c r="X20" s="6"/>
      <c r="Y20" s="6"/>
      <c r="Z20" s="6"/>
      <c r="AA20" s="6"/>
      <c r="AB20" s="6"/>
      <c r="AC20" s="6"/>
      <c r="AD20" s="6"/>
      <c r="AE20" s="6"/>
      <c r="AF20" s="6"/>
      <c r="AG20" s="6"/>
      <c r="AH20" s="6"/>
      <c r="AI20" s="6"/>
      <c r="AJ20" s="6"/>
      <c r="AK20" s="6"/>
      <c r="AL20" s="6"/>
      <c r="AM20" s="6"/>
      <c r="AN20" s="6"/>
      <c r="AO20" s="6"/>
      <c r="AP20" s="6"/>
      <c r="AQ20" s="6"/>
      <c r="AR20" s="6"/>
      <c r="AS20" s="6"/>
      <c r="AT20" s="6"/>
      <c r="AU20" s="6"/>
      <c r="AV20" s="6"/>
      <c r="AW20" s="6"/>
      <c r="AX20" s="6"/>
      <c r="AY20" s="6"/>
      <c r="AZ20" s="6"/>
      <c r="BA20" s="6"/>
      <c r="BB20" s="6"/>
      <c r="BC20" s="6"/>
      <c r="BD20" s="6"/>
      <c r="BE20" s="6"/>
      <c r="BF20" s="6"/>
      <c r="BG20" s="6"/>
      <c r="BH20" s="6"/>
      <c r="BI20" s="6"/>
      <c r="BJ20" s="6"/>
      <c r="BK20" s="6"/>
      <c r="BL20" s="6"/>
      <c r="BM20" s="6"/>
      <c r="BN20" s="6"/>
      <c r="BO20" s="6"/>
      <c r="BP20" s="6"/>
      <c r="BQ20" s="6"/>
      <c r="BR20" s="6"/>
      <c r="BS20" s="6"/>
      <c r="BT20" s="6"/>
      <c r="BU20" s="6"/>
      <c r="BV20" s="6"/>
      <c r="BW20" s="6"/>
      <c r="BX20" s="6"/>
      <c r="BY20" s="6"/>
      <c r="BZ20" s="6"/>
      <c r="CA20" s="6"/>
      <c r="CB20" s="6"/>
      <c r="CC20" s="6"/>
      <c r="CD20" s="6"/>
      <c r="CE20" s="6"/>
      <c r="CF20" s="6"/>
      <c r="CG20" s="6"/>
      <c r="CH20" s="6"/>
      <c r="CI20" s="6"/>
      <c r="CJ20" s="6"/>
      <c r="CK20" s="6"/>
      <c r="CL20" s="6"/>
      <c r="CM20" s="6"/>
      <c r="CN20" s="6"/>
      <c r="CO20" s="6"/>
      <c r="CP20" s="6"/>
      <c r="CQ20" s="6"/>
      <c r="CR20" s="6"/>
      <c r="CS20" s="6"/>
      <c r="CT20" s="6"/>
      <c r="CU20" s="6"/>
      <c r="CV20" s="6"/>
      <c r="CW20" s="6"/>
      <c r="CX20" s="6"/>
      <c r="CY20" s="6"/>
      <c r="CZ20" s="6"/>
      <c r="DA20" s="6"/>
      <c r="DB20" s="6"/>
      <c r="DC20" s="6"/>
      <c r="DD20" s="6"/>
      <c r="DE20" s="6"/>
      <c r="DF20" s="6"/>
      <c r="DG20" s="6"/>
      <c r="DH20" s="6"/>
      <c r="DI20" s="6"/>
      <c r="DJ20" s="6"/>
      <c r="DK20" s="6"/>
      <c r="DL20" s="6"/>
      <c r="DM20" s="6"/>
      <c r="DN20" s="6"/>
      <c r="DO20" s="6"/>
      <c r="DP20" s="6"/>
      <c r="DQ20" s="6"/>
      <c r="DR20" s="6"/>
      <c r="DS20" s="6"/>
      <c r="DT20" s="6"/>
      <c r="DU20" s="6"/>
      <c r="DV20" s="6"/>
      <c r="DW20" s="6"/>
      <c r="DX20" s="6"/>
      <c r="DY20" s="6"/>
      <c r="DZ20" s="6"/>
      <c r="EA20" s="6"/>
      <c r="EB20" s="6"/>
      <c r="EC20" s="6"/>
      <c r="ED20" s="6"/>
      <c r="EE20" s="6"/>
      <c r="EF20" s="6"/>
      <c r="EG20" s="6"/>
      <c r="EH20" s="6"/>
      <c r="EI20" s="6"/>
      <c r="EJ20" s="6"/>
      <c r="EK20" s="6"/>
      <c r="EL20" s="6"/>
      <c r="EM20" s="6"/>
      <c r="EN20" s="6"/>
      <c r="EO20" s="6"/>
      <c r="EP20" s="6"/>
      <c r="EQ20" s="6"/>
      <c r="ER20" s="6"/>
      <c r="ES20" s="6"/>
      <c r="ET20" s="6"/>
      <c r="EU20" s="6"/>
      <c r="EV20" s="6"/>
      <c r="EW20" s="6"/>
      <c r="EX20" s="6"/>
      <c r="EY20" s="6"/>
      <c r="EZ20" s="6"/>
      <c r="FA20" s="6"/>
      <c r="FB20" s="6"/>
      <c r="FC20" s="6"/>
      <c r="FD20" s="6"/>
      <c r="FE20" s="6"/>
      <c r="FF20" s="6"/>
      <c r="FG20" s="6"/>
      <c r="FH20" s="6"/>
      <c r="FI20" s="6"/>
      <c r="FJ20" s="6"/>
      <c r="FK20" s="6"/>
      <c r="FL20" s="6"/>
      <c r="FM20" s="6"/>
    </row>
    <row r="21" spans="1:169" x14ac:dyDescent="0.3">
      <c r="A21" s="6"/>
      <c r="B21" s="6"/>
      <c r="C21" s="6"/>
      <c r="D21" s="6"/>
      <c r="E21" s="6"/>
      <c r="F21" s="6"/>
      <c r="G21" s="6"/>
      <c r="H21" s="6"/>
      <c r="I21" s="6"/>
      <c r="J21" s="6"/>
      <c r="K21" s="6"/>
      <c r="L21" s="6"/>
      <c r="M21" s="6"/>
      <c r="N21" s="6"/>
      <c r="O21" s="6"/>
      <c r="P21" s="6"/>
      <c r="Q21" s="6"/>
      <c r="R21" s="6"/>
      <c r="S21" s="6"/>
      <c r="T21" s="6"/>
      <c r="U21" s="6"/>
      <c r="V21" s="6"/>
      <c r="W21" s="6"/>
      <c r="X21" s="6"/>
      <c r="Y21" s="6"/>
      <c r="Z21" s="6"/>
      <c r="AA21" s="6"/>
      <c r="AB21" s="6"/>
      <c r="AC21" s="6"/>
      <c r="AD21" s="6"/>
      <c r="AE21" s="6"/>
      <c r="AF21" s="6"/>
      <c r="AG21" s="6"/>
      <c r="AH21" s="6"/>
      <c r="AI21" s="6"/>
      <c r="AJ21" s="6"/>
      <c r="AK21" s="6"/>
      <c r="AL21" s="6"/>
      <c r="AM21" s="6"/>
      <c r="AN21" s="6"/>
      <c r="AO21" s="6"/>
      <c r="AP21" s="6"/>
      <c r="AQ21" s="6"/>
      <c r="AR21" s="6"/>
      <c r="AS21" s="6"/>
      <c r="AT21" s="6"/>
      <c r="AU21" s="6"/>
      <c r="AV21" s="6"/>
      <c r="AW21" s="6"/>
      <c r="AX21" s="6"/>
      <c r="AY21" s="6"/>
      <c r="AZ21" s="6"/>
      <c r="BA21" s="6"/>
      <c r="BB21" s="6"/>
      <c r="BC21" s="6"/>
      <c r="BD21" s="6"/>
      <c r="BE21" s="6"/>
      <c r="BF21" s="6"/>
      <c r="BG21" s="6"/>
      <c r="BH21" s="6"/>
      <c r="BI21" s="6"/>
      <c r="BJ21" s="6"/>
      <c r="BK21" s="6"/>
      <c r="BL21" s="6"/>
      <c r="BM21" s="6"/>
      <c r="BN21" s="6"/>
      <c r="BO21" s="6"/>
      <c r="BP21" s="6"/>
      <c r="BQ21" s="6"/>
      <c r="BR21" s="6"/>
      <c r="BS21" s="6"/>
      <c r="BT21" s="6"/>
      <c r="BU21" s="6"/>
      <c r="BV21" s="6"/>
      <c r="BW21" s="6"/>
      <c r="BX21" s="6"/>
      <c r="BY21" s="6"/>
      <c r="BZ21" s="6"/>
      <c r="CA21" s="6"/>
      <c r="CB21" s="6"/>
      <c r="CC21" s="6"/>
      <c r="CD21" s="6"/>
      <c r="CE21" s="6"/>
      <c r="CF21" s="6"/>
      <c r="CG21" s="6"/>
      <c r="CH21" s="6"/>
      <c r="CI21" s="6"/>
      <c r="CJ21" s="6"/>
      <c r="CK21" s="6"/>
      <c r="CL21" s="6"/>
      <c r="CM21" s="6"/>
      <c r="CN21" s="6"/>
      <c r="CO21" s="6"/>
      <c r="CP21" s="6"/>
      <c r="CQ21" s="6"/>
      <c r="CR21" s="6"/>
      <c r="CS21" s="6"/>
      <c r="CT21" s="6"/>
      <c r="CU21" s="6"/>
      <c r="CV21" s="6"/>
      <c r="CW21" s="6"/>
      <c r="CX21" s="6"/>
      <c r="CY21" s="6"/>
      <c r="CZ21" s="6"/>
      <c r="DA21" s="6"/>
      <c r="DB21" s="6"/>
      <c r="DC21" s="6"/>
      <c r="DD21" s="6"/>
      <c r="DE21" s="6"/>
      <c r="DF21" s="6"/>
      <c r="DG21" s="6"/>
      <c r="DH21" s="6"/>
      <c r="DI21" s="6"/>
      <c r="DJ21" s="6"/>
      <c r="DK21" s="6"/>
      <c r="DL21" s="6"/>
      <c r="DM21" s="6"/>
      <c r="DN21" s="6"/>
      <c r="DO21" s="6"/>
      <c r="DP21" s="6"/>
      <c r="DQ21" s="6"/>
      <c r="DR21" s="6"/>
      <c r="DS21" s="6"/>
      <c r="DT21" s="6"/>
      <c r="DU21" s="6"/>
      <c r="DV21" s="6"/>
      <c r="DW21" s="6"/>
      <c r="DX21" s="6"/>
      <c r="DY21" s="6"/>
      <c r="DZ21" s="6"/>
      <c r="EA21" s="6"/>
      <c r="EB21" s="6"/>
      <c r="EC21" s="6"/>
      <c r="ED21" s="6"/>
      <c r="EE21" s="6"/>
      <c r="EF21" s="6"/>
      <c r="EG21" s="6"/>
      <c r="EH21" s="6"/>
      <c r="EI21" s="6"/>
      <c r="EJ21" s="6"/>
      <c r="EK21" s="6"/>
      <c r="EL21" s="6"/>
      <c r="EM21" s="6"/>
      <c r="EN21" s="6"/>
      <c r="EO21" s="6"/>
      <c r="EP21" s="6"/>
      <c r="EQ21" s="6"/>
      <c r="ER21" s="6"/>
      <c r="ES21" s="6"/>
      <c r="ET21" s="6"/>
      <c r="EU21" s="6"/>
      <c r="EV21" s="6"/>
      <c r="EW21" s="6"/>
      <c r="EX21" s="6"/>
      <c r="EY21" s="6"/>
      <c r="EZ21" s="6"/>
      <c r="FA21" s="6"/>
      <c r="FB21" s="6"/>
      <c r="FC21" s="6"/>
      <c r="FD21" s="6"/>
      <c r="FE21" s="6"/>
      <c r="FF21" s="6"/>
      <c r="FG21" s="6"/>
      <c r="FH21" s="6"/>
      <c r="FI21" s="6"/>
      <c r="FJ21" s="6"/>
      <c r="FK21" s="6"/>
      <c r="FL21" s="6"/>
      <c r="FM21" s="6"/>
    </row>
    <row r="22" spans="1:169" x14ac:dyDescent="0.3">
      <c r="A22" s="6"/>
      <c r="B22" s="6"/>
      <c r="C22" s="6"/>
      <c r="D22" s="6"/>
      <c r="E22" s="6"/>
      <c r="F22" s="6"/>
      <c r="G22" s="6"/>
      <c r="H22" s="6"/>
      <c r="I22" s="6"/>
      <c r="J22" s="6"/>
      <c r="K22" s="6"/>
      <c r="L22" s="6"/>
      <c r="M22" s="6"/>
      <c r="N22" s="6"/>
      <c r="O22" s="6"/>
      <c r="P22" s="6"/>
      <c r="Q22" s="6"/>
      <c r="R22" s="6"/>
      <c r="S22" s="6"/>
      <c r="T22" s="6"/>
      <c r="U22" s="6"/>
      <c r="V22" s="6"/>
      <c r="W22" s="6"/>
      <c r="X22" s="6"/>
      <c r="Y22" s="6"/>
      <c r="Z22" s="6"/>
      <c r="AA22" s="6"/>
      <c r="AB22" s="6"/>
      <c r="AC22" s="6"/>
      <c r="AD22" s="6"/>
      <c r="AE22" s="6"/>
      <c r="AF22" s="6"/>
      <c r="AG22" s="6"/>
      <c r="AH22" s="6"/>
      <c r="AI22" s="6"/>
      <c r="AJ22" s="6"/>
      <c r="AK22" s="6"/>
      <c r="AL22" s="6"/>
      <c r="AM22" s="6"/>
      <c r="AN22" s="6"/>
      <c r="AO22" s="6"/>
      <c r="AP22" s="6"/>
      <c r="AQ22" s="6"/>
      <c r="AR22" s="6"/>
      <c r="AS22" s="6"/>
      <c r="AT22" s="6"/>
      <c r="AU22" s="6"/>
      <c r="AV22" s="6"/>
      <c r="AW22" s="6"/>
      <c r="AX22" s="6"/>
      <c r="AY22" s="6"/>
      <c r="AZ22" s="6"/>
      <c r="BA22" s="6"/>
      <c r="BB22" s="6"/>
      <c r="BC22" s="6"/>
      <c r="BD22" s="6"/>
      <c r="BE22" s="6"/>
      <c r="BF22" s="6"/>
      <c r="BG22" s="6"/>
      <c r="BH22" s="6"/>
      <c r="BI22" s="6"/>
      <c r="BJ22" s="6"/>
      <c r="BK22" s="6"/>
      <c r="BL22" s="6"/>
      <c r="BM22" s="6"/>
      <c r="BN22" s="6"/>
      <c r="BO22" s="6"/>
      <c r="BP22" s="6"/>
      <c r="BQ22" s="6"/>
      <c r="BR22" s="6"/>
      <c r="BS22" s="6"/>
      <c r="BT22" s="6"/>
      <c r="BU22" s="6"/>
      <c r="BV22" s="6"/>
      <c r="BW22" s="6"/>
      <c r="BX22" s="6"/>
      <c r="BY22" s="6"/>
      <c r="BZ22" s="6"/>
      <c r="CA22" s="6"/>
      <c r="CB22" s="6"/>
      <c r="CC22" s="6"/>
      <c r="CD22" s="6"/>
      <c r="CE22" s="6"/>
      <c r="CF22" s="6"/>
      <c r="CG22" s="6"/>
      <c r="CH22" s="6"/>
      <c r="CI22" s="6"/>
      <c r="CJ22" s="6"/>
      <c r="CK22" s="6"/>
      <c r="CL22" s="6"/>
      <c r="CM22" s="6"/>
      <c r="CN22" s="6"/>
      <c r="CO22" s="6"/>
      <c r="CP22" s="6"/>
      <c r="CQ22" s="6"/>
      <c r="CR22" s="6"/>
      <c r="CS22" s="6"/>
      <c r="CT22" s="6"/>
      <c r="CU22" s="6"/>
      <c r="CV22" s="6"/>
      <c r="CW22" s="6"/>
      <c r="CX22" s="6"/>
      <c r="CY22" s="6"/>
      <c r="CZ22" s="6"/>
      <c r="DA22" s="6"/>
      <c r="DB22" s="6"/>
      <c r="DC22" s="6"/>
      <c r="DD22" s="6"/>
      <c r="DE22" s="6"/>
      <c r="DF22" s="6"/>
      <c r="DG22" s="6"/>
      <c r="DH22" s="6"/>
      <c r="DI22" s="6"/>
      <c r="DJ22" s="6"/>
      <c r="DK22" s="6"/>
      <c r="DL22" s="6"/>
      <c r="DM22" s="6"/>
      <c r="DN22" s="6"/>
      <c r="DO22" s="6"/>
      <c r="DP22" s="6"/>
      <c r="DQ22" s="6"/>
      <c r="DR22" s="6"/>
      <c r="DS22" s="6"/>
      <c r="DT22" s="6"/>
      <c r="DU22" s="6"/>
      <c r="DV22" s="6"/>
      <c r="DW22" s="6"/>
      <c r="DX22" s="6"/>
      <c r="DY22" s="6"/>
      <c r="DZ22" s="6"/>
      <c r="EA22" s="6"/>
      <c r="EB22" s="6"/>
      <c r="EC22" s="6"/>
      <c r="ED22" s="6"/>
      <c r="EE22" s="6"/>
      <c r="EF22" s="6"/>
      <c r="EG22" s="6"/>
      <c r="EH22" s="6"/>
      <c r="EI22" s="6"/>
      <c r="EJ22" s="6"/>
      <c r="EK22" s="6"/>
      <c r="EL22" s="6"/>
      <c r="EM22" s="6"/>
      <c r="EN22" s="6"/>
      <c r="EO22" s="6"/>
      <c r="EP22" s="6"/>
      <c r="EQ22" s="6"/>
      <c r="ER22" s="6"/>
      <c r="ES22" s="6"/>
      <c r="ET22" s="6"/>
      <c r="EU22" s="6"/>
      <c r="EV22" s="6"/>
      <c r="EW22" s="6"/>
      <c r="EX22" s="6"/>
      <c r="EY22" s="6"/>
      <c r="EZ22" s="6"/>
      <c r="FA22" s="6"/>
      <c r="FB22" s="6"/>
      <c r="FC22" s="6"/>
      <c r="FD22" s="6"/>
      <c r="FE22" s="6"/>
      <c r="FF22" s="6"/>
      <c r="FG22" s="6"/>
      <c r="FH22" s="6"/>
      <c r="FI22" s="6"/>
      <c r="FJ22" s="6"/>
      <c r="FK22" s="6"/>
      <c r="FL22" s="6"/>
      <c r="FM22" s="6"/>
    </row>
    <row r="23" spans="1:169" x14ac:dyDescent="0.3">
      <c r="A23" s="6"/>
      <c r="B23" s="6"/>
      <c r="C23" s="6"/>
      <c r="D23" s="6"/>
      <c r="E23" s="6"/>
      <c r="F23" s="6"/>
      <c r="G23" s="6"/>
      <c r="H23" s="6"/>
      <c r="I23" s="6"/>
      <c r="J23" s="6"/>
      <c r="K23" s="6"/>
      <c r="L23" s="6"/>
      <c r="M23" s="6"/>
      <c r="N23" s="6"/>
      <c r="O23" s="6"/>
      <c r="P23" s="6"/>
      <c r="Q23" s="6"/>
      <c r="R23" s="6"/>
      <c r="S23" s="6"/>
      <c r="T23" s="6"/>
      <c r="U23" s="6"/>
      <c r="V23" s="6"/>
      <c r="W23" s="6"/>
      <c r="X23" s="6"/>
      <c r="Y23" s="6"/>
      <c r="Z23" s="6"/>
      <c r="AA23" s="6"/>
      <c r="AB23" s="6"/>
      <c r="AC23" s="6"/>
      <c r="AD23" s="6"/>
      <c r="AE23" s="6"/>
      <c r="AF23" s="6"/>
      <c r="AG23" s="6"/>
      <c r="AH23" s="6"/>
      <c r="AI23" s="6"/>
      <c r="AJ23" s="6"/>
      <c r="AK23" s="6"/>
      <c r="AL23" s="6"/>
      <c r="AM23" s="6"/>
      <c r="AN23" s="6"/>
      <c r="AO23" s="6"/>
      <c r="AP23" s="6"/>
      <c r="AQ23" s="6"/>
      <c r="AR23" s="6"/>
      <c r="AS23" s="6"/>
      <c r="AT23" s="6"/>
      <c r="AU23" s="6"/>
      <c r="AV23" s="6"/>
      <c r="AW23" s="6"/>
      <c r="AX23" s="6"/>
      <c r="AY23" s="6"/>
      <c r="AZ23" s="6"/>
      <c r="BA23" s="6"/>
      <c r="BB23" s="6"/>
      <c r="BC23" s="6"/>
      <c r="BD23" s="6"/>
      <c r="BE23" s="6"/>
      <c r="BF23" s="6"/>
      <c r="BG23" s="6"/>
      <c r="BH23" s="6"/>
      <c r="BI23" s="6"/>
      <c r="BJ23" s="6"/>
      <c r="BK23" s="6"/>
      <c r="BL23" s="6"/>
      <c r="BM23" s="6"/>
      <c r="BN23" s="6"/>
      <c r="BO23" s="6"/>
      <c r="BP23" s="6"/>
      <c r="BQ23" s="6"/>
      <c r="BR23" s="6"/>
      <c r="BS23" s="6"/>
      <c r="BT23" s="6"/>
      <c r="BU23" s="6"/>
      <c r="BV23" s="6"/>
      <c r="BW23" s="6"/>
      <c r="BX23" s="6"/>
      <c r="BY23" s="6"/>
      <c r="BZ23" s="6"/>
      <c r="CA23" s="6"/>
      <c r="CB23" s="6"/>
      <c r="CC23" s="6"/>
      <c r="CD23" s="6"/>
      <c r="CE23" s="6"/>
      <c r="CF23" s="6"/>
      <c r="CG23" s="6"/>
      <c r="CH23" s="6"/>
      <c r="CI23" s="6"/>
      <c r="CJ23" s="6"/>
      <c r="CK23" s="6"/>
      <c r="CL23" s="6"/>
      <c r="CM23" s="6"/>
      <c r="CN23" s="6"/>
      <c r="CO23" s="6"/>
      <c r="CP23" s="6"/>
      <c r="CQ23" s="6"/>
      <c r="CR23" s="6"/>
      <c r="CS23" s="6"/>
      <c r="CT23" s="6"/>
      <c r="CU23" s="6"/>
      <c r="CV23" s="6"/>
      <c r="CW23" s="6"/>
      <c r="CX23" s="6"/>
      <c r="CY23" s="6"/>
      <c r="CZ23" s="6"/>
      <c r="DA23" s="6"/>
      <c r="DB23" s="6"/>
      <c r="DC23" s="6"/>
      <c r="DD23" s="6"/>
      <c r="DE23" s="6"/>
      <c r="DF23" s="6"/>
      <c r="DG23" s="6"/>
      <c r="DH23" s="6"/>
      <c r="DI23" s="6"/>
      <c r="DJ23" s="6"/>
      <c r="DK23" s="6"/>
      <c r="DL23" s="6"/>
      <c r="DM23" s="6"/>
      <c r="DN23" s="6"/>
      <c r="DO23" s="6"/>
      <c r="DP23" s="6"/>
      <c r="DQ23" s="6"/>
      <c r="DR23" s="6"/>
      <c r="DS23" s="6"/>
      <c r="DT23" s="6"/>
      <c r="DU23" s="6"/>
      <c r="DV23" s="6"/>
      <c r="DW23" s="6"/>
      <c r="DX23" s="6"/>
      <c r="DY23" s="6"/>
      <c r="DZ23" s="6"/>
      <c r="EA23" s="6"/>
      <c r="EB23" s="6"/>
      <c r="EC23" s="6"/>
      <c r="ED23" s="6"/>
      <c r="EE23" s="6"/>
      <c r="EF23" s="6"/>
      <c r="EG23" s="6"/>
      <c r="EH23" s="6"/>
      <c r="EI23" s="6"/>
      <c r="EJ23" s="6"/>
      <c r="EK23" s="6"/>
      <c r="EL23" s="6"/>
      <c r="EM23" s="6"/>
      <c r="EN23" s="6"/>
      <c r="EO23" s="6"/>
      <c r="EP23" s="6"/>
      <c r="EQ23" s="6"/>
      <c r="ER23" s="6"/>
      <c r="ES23" s="6"/>
      <c r="ET23" s="6"/>
      <c r="EU23" s="6"/>
      <c r="EV23" s="6"/>
      <c r="EW23" s="6"/>
      <c r="EX23" s="6"/>
      <c r="EY23" s="6"/>
      <c r="EZ23" s="6"/>
      <c r="FA23" s="6"/>
      <c r="FB23" s="6"/>
      <c r="FC23" s="6"/>
      <c r="FD23" s="6"/>
      <c r="FE23" s="6"/>
      <c r="FF23" s="6"/>
      <c r="FG23" s="6"/>
      <c r="FH23" s="6"/>
      <c r="FI23" s="6"/>
      <c r="FJ23" s="6"/>
      <c r="FK23" s="6"/>
      <c r="FL23" s="6"/>
      <c r="FM23" s="6"/>
    </row>
    <row r="24" spans="1:169" x14ac:dyDescent="0.3">
      <c r="A24" s="6"/>
      <c r="B24" s="6"/>
      <c r="C24" s="6"/>
      <c r="D24" s="6"/>
      <c r="E24" s="6"/>
      <c r="F24" s="6"/>
      <c r="G24" s="6"/>
      <c r="H24" s="6"/>
      <c r="I24" s="6"/>
      <c r="J24" s="6"/>
      <c r="K24" s="6"/>
      <c r="L24" s="6"/>
      <c r="M24" s="6"/>
      <c r="N24" s="6"/>
      <c r="O24" s="6"/>
      <c r="P24" s="6"/>
      <c r="Q24" s="6"/>
      <c r="R24" s="6"/>
      <c r="S24" s="6"/>
      <c r="T24" s="6"/>
      <c r="U24" s="6"/>
      <c r="V24" s="6"/>
      <c r="W24" s="6"/>
      <c r="X24" s="6"/>
      <c r="Y24" s="6"/>
      <c r="Z24" s="6"/>
      <c r="AA24" s="6"/>
      <c r="AB24" s="6"/>
      <c r="AC24" s="6"/>
      <c r="AD24" s="6"/>
      <c r="AE24" s="6"/>
      <c r="AF24" s="6"/>
      <c r="AG24" s="6"/>
      <c r="AH24" s="6"/>
      <c r="AI24" s="6"/>
      <c r="AJ24" s="6"/>
      <c r="AK24" s="6"/>
      <c r="AL24" s="6"/>
      <c r="AM24" s="6"/>
      <c r="AN24" s="6"/>
      <c r="AO24" s="6"/>
      <c r="AP24" s="6"/>
      <c r="AQ24" s="6"/>
      <c r="AR24" s="6"/>
      <c r="AS24" s="6"/>
      <c r="AT24" s="6"/>
      <c r="AU24" s="6"/>
      <c r="AV24" s="6"/>
      <c r="AW24" s="6"/>
      <c r="AX24" s="6"/>
      <c r="AY24" s="6"/>
      <c r="AZ24" s="6"/>
      <c r="BA24" s="6"/>
      <c r="BB24" s="6"/>
      <c r="BC24" s="6"/>
      <c r="BD24" s="6"/>
      <c r="BE24" s="6"/>
      <c r="BF24" s="6"/>
      <c r="BG24" s="6"/>
      <c r="BH24" s="6"/>
      <c r="BI24" s="6"/>
      <c r="BJ24" s="6"/>
      <c r="BK24" s="6"/>
      <c r="BL24" s="6"/>
      <c r="BM24" s="6"/>
      <c r="BN24" s="6"/>
      <c r="BO24" s="6"/>
      <c r="BP24" s="6"/>
      <c r="BQ24" s="6"/>
      <c r="BR24" s="6"/>
      <c r="BS24" s="6"/>
      <c r="BT24" s="6"/>
      <c r="BU24" s="6"/>
      <c r="BV24" s="6"/>
      <c r="BW24" s="6"/>
      <c r="BX24" s="6"/>
      <c r="BY24" s="6"/>
      <c r="BZ24" s="6"/>
      <c r="CA24" s="6"/>
      <c r="CB24" s="6"/>
      <c r="CC24" s="6"/>
      <c r="CD24" s="6"/>
      <c r="CE24" s="6"/>
      <c r="CF24" s="6"/>
      <c r="CG24" s="6"/>
      <c r="CH24" s="6"/>
      <c r="CI24" s="6"/>
      <c r="CJ24" s="6"/>
      <c r="CK24" s="6"/>
      <c r="CL24" s="6"/>
      <c r="CM24" s="6"/>
      <c r="CN24" s="6"/>
      <c r="CO24" s="6"/>
      <c r="CP24" s="6"/>
      <c r="CQ24" s="6"/>
      <c r="CR24" s="6"/>
      <c r="CS24" s="6"/>
      <c r="CT24" s="6"/>
      <c r="CU24" s="6"/>
      <c r="CV24" s="6"/>
      <c r="CW24" s="6"/>
      <c r="CX24" s="6"/>
      <c r="CY24" s="6"/>
      <c r="CZ24" s="6"/>
      <c r="DA24" s="6"/>
      <c r="DB24" s="6"/>
      <c r="DC24" s="6"/>
      <c r="DD24" s="6"/>
      <c r="DE24" s="6"/>
      <c r="DF24" s="6"/>
      <c r="DG24" s="6"/>
      <c r="DH24" s="6"/>
      <c r="DI24" s="6"/>
      <c r="DJ24" s="6"/>
      <c r="DK24" s="6"/>
      <c r="DL24" s="6"/>
      <c r="DM24" s="6"/>
      <c r="DN24" s="6"/>
      <c r="DO24" s="6"/>
      <c r="DP24" s="6"/>
      <c r="DQ24" s="6"/>
      <c r="DR24" s="6"/>
      <c r="DS24" s="6"/>
      <c r="DT24" s="6"/>
      <c r="DU24" s="6"/>
      <c r="DV24" s="6"/>
      <c r="DW24" s="6"/>
      <c r="DX24" s="6"/>
      <c r="DY24" s="6"/>
      <c r="DZ24" s="6"/>
      <c r="EA24" s="6"/>
      <c r="EB24" s="6"/>
      <c r="EC24" s="6"/>
      <c r="ED24" s="6"/>
      <c r="EE24" s="6"/>
      <c r="EF24" s="6"/>
      <c r="EG24" s="6"/>
      <c r="EH24" s="6"/>
      <c r="EI24" s="6"/>
      <c r="EJ24" s="6"/>
      <c r="EK24" s="6"/>
      <c r="EL24" s="6"/>
      <c r="EM24" s="6"/>
      <c r="EN24" s="6"/>
      <c r="EO24" s="6"/>
      <c r="EP24" s="6"/>
      <c r="EQ24" s="6"/>
      <c r="ER24" s="6"/>
      <c r="ES24" s="6"/>
      <c r="ET24" s="6"/>
      <c r="EU24" s="6"/>
      <c r="EV24" s="6"/>
      <c r="EW24" s="6"/>
      <c r="EX24" s="6"/>
      <c r="EY24" s="6"/>
      <c r="EZ24" s="6"/>
      <c r="FA24" s="6"/>
      <c r="FB24" s="6"/>
      <c r="FC24" s="6"/>
      <c r="FD24" s="6"/>
      <c r="FE24" s="6"/>
      <c r="FF24" s="6"/>
      <c r="FG24" s="6"/>
      <c r="FH24" s="6"/>
      <c r="FI24" s="6"/>
      <c r="FJ24" s="6"/>
      <c r="FK24" s="6"/>
      <c r="FL24" s="6"/>
      <c r="FM24" s="6"/>
    </row>
    <row r="25" spans="1:169" x14ac:dyDescent="0.3">
      <c r="A25" s="6"/>
      <c r="B25" s="6"/>
      <c r="C25" s="6"/>
      <c r="D25" s="6"/>
      <c r="E25" s="6"/>
      <c r="F25" s="6"/>
      <c r="G25" s="6"/>
      <c r="H25" s="6"/>
      <c r="I25" s="6"/>
      <c r="J25" s="6"/>
      <c r="K25" s="6"/>
      <c r="L25" s="6"/>
      <c r="M25" s="6"/>
      <c r="N25" s="6"/>
      <c r="O25" s="6"/>
      <c r="P25" s="6"/>
      <c r="Q25" s="6"/>
      <c r="R25" s="6"/>
      <c r="S25" s="6"/>
      <c r="T25" s="6"/>
      <c r="U25" s="6"/>
      <c r="V25" s="6"/>
      <c r="W25" s="6"/>
      <c r="X25" s="6"/>
      <c r="Y25" s="6"/>
      <c r="Z25" s="6"/>
      <c r="AA25" s="6"/>
      <c r="AB25" s="6"/>
      <c r="AC25" s="6"/>
      <c r="AD25" s="6"/>
      <c r="AE25" s="6"/>
      <c r="AF25" s="6"/>
      <c r="AG25" s="6"/>
      <c r="AH25" s="6"/>
      <c r="AI25" s="6"/>
      <c r="AJ25" s="6"/>
      <c r="AK25" s="6"/>
      <c r="AL25" s="6"/>
      <c r="AM25" s="6"/>
      <c r="AN25" s="6"/>
      <c r="AO25" s="6"/>
      <c r="AP25" s="6"/>
      <c r="AQ25" s="6"/>
      <c r="AR25" s="6"/>
      <c r="AS25" s="6"/>
      <c r="AT25" s="6"/>
      <c r="AU25" s="6"/>
      <c r="AV25" s="6"/>
      <c r="AW25" s="6"/>
      <c r="AX25" s="6"/>
      <c r="AY25" s="6"/>
      <c r="AZ25" s="6"/>
      <c r="BA25" s="6"/>
      <c r="BB25" s="6"/>
      <c r="BC25" s="6"/>
      <c r="BD25" s="6"/>
      <c r="BE25" s="6"/>
      <c r="BF25" s="6"/>
      <c r="BG25" s="6"/>
      <c r="BH25" s="6"/>
      <c r="BI25" s="6"/>
      <c r="BJ25" s="6"/>
      <c r="BK25" s="6"/>
      <c r="BL25" s="6"/>
      <c r="BM25" s="6"/>
      <c r="BN25" s="6"/>
      <c r="BO25" s="6"/>
      <c r="BP25" s="6"/>
      <c r="BQ25" s="6"/>
      <c r="BR25" s="6"/>
      <c r="BS25" s="6"/>
      <c r="BT25" s="6"/>
      <c r="BU25" s="6"/>
      <c r="BV25" s="6"/>
      <c r="BW25" s="6"/>
      <c r="BX25" s="6"/>
      <c r="BY25" s="6"/>
      <c r="BZ25" s="6"/>
      <c r="CA25" s="6"/>
      <c r="CB25" s="6"/>
      <c r="CC25" s="6"/>
      <c r="CD25" s="6"/>
      <c r="CE25" s="6"/>
      <c r="CF25" s="6"/>
      <c r="CG25" s="6"/>
      <c r="CH25" s="6"/>
      <c r="CI25" s="6"/>
      <c r="CJ25" s="6"/>
      <c r="CK25" s="6"/>
      <c r="CL25" s="6"/>
      <c r="CM25" s="6"/>
      <c r="CN25" s="6"/>
      <c r="CO25" s="6"/>
      <c r="CP25" s="6"/>
      <c r="CQ25" s="6"/>
      <c r="CR25" s="6"/>
      <c r="CS25" s="6"/>
      <c r="CT25" s="6"/>
      <c r="CU25" s="6"/>
      <c r="CV25" s="6"/>
      <c r="CW25" s="6"/>
      <c r="CX25" s="6"/>
      <c r="CY25" s="6"/>
      <c r="CZ25" s="6"/>
      <c r="DA25" s="6"/>
      <c r="DB25" s="6"/>
      <c r="DC25" s="6"/>
      <c r="DD25" s="6"/>
      <c r="DE25" s="6"/>
      <c r="DF25" s="6"/>
      <c r="DG25" s="6"/>
      <c r="DH25" s="6"/>
      <c r="DI25" s="6"/>
      <c r="DJ25" s="6"/>
      <c r="DK25" s="6"/>
      <c r="DL25" s="6"/>
      <c r="DM25" s="6"/>
      <c r="DN25" s="6"/>
      <c r="DO25" s="6"/>
      <c r="DP25" s="6"/>
      <c r="DQ25" s="6"/>
      <c r="DR25" s="6"/>
      <c r="DS25" s="6"/>
      <c r="DT25" s="6"/>
      <c r="DU25" s="6"/>
      <c r="DV25" s="6"/>
      <c r="DW25" s="6"/>
      <c r="DX25" s="6"/>
      <c r="DY25" s="6"/>
      <c r="DZ25" s="6"/>
      <c r="EA25" s="6"/>
      <c r="EB25" s="6"/>
      <c r="EC25" s="6"/>
      <c r="ED25" s="6"/>
      <c r="EE25" s="6"/>
      <c r="EF25" s="6"/>
      <c r="EG25" s="6"/>
      <c r="EH25" s="6"/>
      <c r="EI25" s="6"/>
      <c r="EJ25" s="6"/>
      <c r="EK25" s="6"/>
      <c r="EL25" s="6"/>
      <c r="EM25" s="6"/>
      <c r="EN25" s="6"/>
      <c r="EO25" s="6"/>
      <c r="EP25" s="6"/>
      <c r="EQ25" s="6"/>
      <c r="ER25" s="6"/>
      <c r="ES25" s="6"/>
      <c r="ET25" s="6"/>
      <c r="EU25" s="6"/>
      <c r="EV25" s="6"/>
      <c r="EW25" s="6"/>
      <c r="EX25" s="6"/>
      <c r="EY25" s="6"/>
      <c r="EZ25" s="6"/>
      <c r="FA25" s="6"/>
      <c r="FB25" s="6"/>
      <c r="FC25" s="6"/>
      <c r="FD25" s="6"/>
      <c r="FE25" s="6"/>
      <c r="FF25" s="6"/>
      <c r="FG25" s="6"/>
      <c r="FH25" s="6"/>
      <c r="FI25" s="6"/>
      <c r="FJ25" s="6"/>
      <c r="FK25" s="6"/>
      <c r="FL25" s="6"/>
      <c r="FM25" s="6"/>
    </row>
    <row r="26" spans="1:169" x14ac:dyDescent="0.3">
      <c r="A26" s="6"/>
      <c r="B26" s="6"/>
      <c r="C26" s="6"/>
      <c r="D26" s="6"/>
      <c r="E26" s="6"/>
      <c r="F26" s="6"/>
      <c r="G26" s="6"/>
      <c r="H26" s="6"/>
      <c r="I26" s="6"/>
      <c r="J26" s="6"/>
      <c r="K26" s="6"/>
      <c r="L26" s="6"/>
      <c r="M26" s="6"/>
      <c r="N26" s="6"/>
      <c r="O26" s="6"/>
      <c r="P26" s="6"/>
      <c r="Q26" s="6"/>
      <c r="R26" s="6"/>
      <c r="S26" s="6"/>
      <c r="T26" s="6"/>
      <c r="U26" s="6"/>
      <c r="V26" s="6"/>
      <c r="W26" s="6"/>
      <c r="X26" s="6"/>
      <c r="Y26" s="6"/>
      <c r="Z26" s="6"/>
      <c r="AA26" s="6"/>
      <c r="AB26" s="6"/>
      <c r="AC26" s="6"/>
      <c r="AD26" s="6"/>
      <c r="AE26" s="6"/>
      <c r="AF26" s="6"/>
      <c r="AG26" s="6"/>
      <c r="AH26" s="6"/>
      <c r="AI26" s="6"/>
      <c r="AJ26" s="6"/>
      <c r="AK26" s="6"/>
      <c r="AL26" s="6"/>
      <c r="AM26" s="6"/>
      <c r="AN26" s="6"/>
      <c r="AO26" s="6"/>
      <c r="AP26" s="6"/>
      <c r="AQ26" s="6"/>
      <c r="AR26" s="6"/>
      <c r="AS26" s="6"/>
      <c r="AT26" s="6"/>
      <c r="AU26" s="6"/>
      <c r="AV26" s="6"/>
      <c r="AW26" s="6"/>
      <c r="AX26" s="6"/>
      <c r="AY26" s="6"/>
      <c r="AZ26" s="6"/>
      <c r="BA26" s="6"/>
      <c r="BB26" s="6"/>
      <c r="BC26" s="6"/>
      <c r="BD26" s="6"/>
      <c r="BE26" s="6"/>
      <c r="BF26" s="6"/>
      <c r="BG26" s="6"/>
      <c r="BH26" s="6"/>
      <c r="BI26" s="6"/>
      <c r="BJ26" s="6"/>
      <c r="BK26" s="6"/>
      <c r="BL26" s="6"/>
      <c r="BM26" s="6"/>
      <c r="BN26" s="6"/>
      <c r="BO26" s="6"/>
      <c r="BP26" s="6"/>
      <c r="BQ26" s="6"/>
      <c r="BR26" s="6"/>
      <c r="BS26" s="6"/>
      <c r="BT26" s="6"/>
      <c r="BU26" s="6"/>
      <c r="BV26" s="6"/>
      <c r="BW26" s="6"/>
      <c r="BX26" s="6"/>
      <c r="BY26" s="6"/>
      <c r="BZ26" s="6"/>
      <c r="CA26" s="6"/>
      <c r="CB26" s="6"/>
      <c r="CC26" s="6"/>
      <c r="CD26" s="6"/>
      <c r="CE26" s="6"/>
      <c r="CF26" s="6"/>
      <c r="CG26" s="6"/>
      <c r="CH26" s="6"/>
      <c r="CI26" s="6"/>
      <c r="CJ26" s="6"/>
      <c r="CK26" s="6"/>
      <c r="CL26" s="6"/>
      <c r="CM26" s="6"/>
      <c r="CN26" s="6"/>
      <c r="CO26" s="6"/>
      <c r="CP26" s="6"/>
      <c r="CQ26" s="6"/>
      <c r="CR26" s="6"/>
      <c r="CS26" s="6"/>
      <c r="CT26" s="6"/>
      <c r="CU26" s="6"/>
      <c r="CV26" s="6"/>
      <c r="CW26" s="6"/>
      <c r="CX26" s="6"/>
      <c r="CY26" s="6"/>
      <c r="CZ26" s="6"/>
      <c r="DA26" s="6"/>
      <c r="DB26" s="6"/>
      <c r="DC26" s="6"/>
      <c r="DD26" s="6"/>
      <c r="DE26" s="6"/>
      <c r="DF26" s="6"/>
      <c r="DG26" s="6"/>
      <c r="DH26" s="6"/>
      <c r="DI26" s="6"/>
      <c r="DJ26" s="6"/>
      <c r="DK26" s="6"/>
      <c r="DL26" s="6"/>
      <c r="DM26" s="6"/>
      <c r="DN26" s="6"/>
      <c r="DO26" s="6"/>
      <c r="DP26" s="6"/>
      <c r="DQ26" s="6"/>
      <c r="DR26" s="6"/>
      <c r="DS26" s="6"/>
      <c r="DT26" s="6"/>
      <c r="DU26" s="6"/>
      <c r="DV26" s="6"/>
      <c r="DW26" s="6"/>
      <c r="DX26" s="6"/>
      <c r="DY26" s="6"/>
      <c r="DZ26" s="6"/>
      <c r="EA26" s="6"/>
      <c r="EB26" s="6"/>
      <c r="EC26" s="6"/>
      <c r="ED26" s="6"/>
      <c r="EE26" s="6"/>
      <c r="EF26" s="6"/>
      <c r="EG26" s="6"/>
      <c r="EH26" s="6"/>
      <c r="EI26" s="6"/>
      <c r="EJ26" s="6"/>
      <c r="EK26" s="6"/>
      <c r="EL26" s="6"/>
      <c r="EM26" s="6"/>
      <c r="EN26" s="6"/>
      <c r="EO26" s="6"/>
      <c r="EP26" s="6"/>
      <c r="EQ26" s="6"/>
      <c r="ER26" s="6"/>
      <c r="ES26" s="6"/>
      <c r="ET26" s="6"/>
      <c r="EU26" s="6"/>
      <c r="EV26" s="6"/>
      <c r="EW26" s="6"/>
      <c r="EX26" s="6"/>
      <c r="EY26" s="6"/>
      <c r="EZ26" s="6"/>
      <c r="FA26" s="6"/>
      <c r="FB26" s="6"/>
      <c r="FC26" s="6"/>
      <c r="FD26" s="6"/>
      <c r="FE26" s="6"/>
      <c r="FF26" s="6"/>
      <c r="FG26" s="6"/>
      <c r="FH26" s="6"/>
      <c r="FI26" s="6"/>
      <c r="FJ26" s="6"/>
      <c r="FK26" s="6"/>
      <c r="FL26" s="6"/>
      <c r="FM26" s="6"/>
    </row>
    <row r="27" spans="1:169" x14ac:dyDescent="0.3">
      <c r="A27" s="6"/>
      <c r="B27" s="6"/>
      <c r="C27" s="6"/>
      <c r="D27" s="6"/>
      <c r="E27" s="6"/>
      <c r="F27" s="6"/>
      <c r="G27" s="6"/>
      <c r="H27" s="6"/>
      <c r="I27" s="6"/>
      <c r="J27" s="6"/>
      <c r="K27" s="6"/>
      <c r="L27" s="6"/>
      <c r="M27" s="6"/>
      <c r="N27" s="6"/>
      <c r="O27" s="6"/>
      <c r="P27" s="6"/>
      <c r="Q27" s="6"/>
      <c r="R27" s="6"/>
      <c r="S27" s="6"/>
      <c r="T27" s="6"/>
      <c r="U27" s="6"/>
      <c r="V27" s="6"/>
      <c r="W27" s="6"/>
      <c r="X27" s="6"/>
      <c r="Y27" s="6"/>
      <c r="Z27" s="6"/>
      <c r="AA27" s="6"/>
      <c r="AB27" s="6"/>
      <c r="AC27" s="6"/>
      <c r="AD27" s="6"/>
      <c r="AE27" s="6"/>
      <c r="AF27" s="6"/>
      <c r="AG27" s="6"/>
      <c r="AH27" s="6"/>
      <c r="AI27" s="6"/>
      <c r="AJ27" s="6"/>
      <c r="AK27" s="6"/>
      <c r="AL27" s="6"/>
      <c r="AM27" s="6"/>
      <c r="AN27" s="6"/>
      <c r="AO27" s="6"/>
      <c r="AP27" s="6"/>
      <c r="AQ27" s="6"/>
      <c r="AR27" s="6"/>
      <c r="AS27" s="6"/>
      <c r="AT27" s="6"/>
      <c r="AU27" s="6"/>
      <c r="AV27" s="6"/>
      <c r="AW27" s="6"/>
      <c r="AX27" s="6"/>
      <c r="AY27" s="6"/>
      <c r="AZ27" s="6"/>
      <c r="BA27" s="6"/>
      <c r="BB27" s="6"/>
      <c r="BC27" s="6"/>
      <c r="BD27" s="6"/>
      <c r="BE27" s="6"/>
      <c r="BF27" s="6"/>
      <c r="BG27" s="6"/>
      <c r="BH27" s="6"/>
      <c r="BI27" s="6"/>
      <c r="BJ27" s="6"/>
      <c r="BK27" s="6"/>
      <c r="BL27" s="6"/>
      <c r="BM27" s="6"/>
      <c r="BN27" s="6"/>
      <c r="BO27" s="6"/>
      <c r="BP27" s="6"/>
      <c r="BQ27" s="6"/>
      <c r="BR27" s="6"/>
      <c r="BS27" s="6"/>
      <c r="BT27" s="6"/>
      <c r="BU27" s="6"/>
      <c r="BV27" s="6"/>
      <c r="BW27" s="6"/>
      <c r="BX27" s="6"/>
      <c r="BY27" s="6"/>
      <c r="BZ27" s="6"/>
      <c r="CA27" s="6"/>
      <c r="CB27" s="6"/>
      <c r="CC27" s="6"/>
      <c r="CD27" s="6"/>
      <c r="CE27" s="6"/>
      <c r="CF27" s="6"/>
      <c r="CG27" s="6"/>
      <c r="CH27" s="6"/>
      <c r="CI27" s="6"/>
      <c r="CJ27" s="6"/>
      <c r="CK27" s="6"/>
      <c r="CL27" s="6"/>
      <c r="CM27" s="6"/>
      <c r="CN27" s="6"/>
      <c r="CO27" s="6"/>
      <c r="CP27" s="6"/>
      <c r="CQ27" s="6"/>
      <c r="CR27" s="6"/>
      <c r="CS27" s="6"/>
      <c r="CT27" s="6"/>
      <c r="CU27" s="6"/>
      <c r="CV27" s="6"/>
      <c r="CW27" s="6"/>
      <c r="CX27" s="6"/>
      <c r="CY27" s="6"/>
      <c r="CZ27" s="6"/>
      <c r="DA27" s="6"/>
      <c r="DB27" s="6"/>
      <c r="DC27" s="6"/>
      <c r="DD27" s="6"/>
      <c r="DE27" s="6"/>
      <c r="DF27" s="6"/>
      <c r="DG27" s="6"/>
      <c r="DH27" s="6"/>
      <c r="DI27" s="6"/>
      <c r="DJ27" s="6"/>
      <c r="DK27" s="6"/>
      <c r="DL27" s="6"/>
      <c r="DM27" s="6"/>
      <c r="DN27" s="6"/>
      <c r="DO27" s="6"/>
      <c r="DP27" s="6"/>
      <c r="DQ27" s="6"/>
      <c r="DR27" s="6"/>
      <c r="DS27" s="6"/>
      <c r="DT27" s="6"/>
      <c r="DU27" s="6"/>
      <c r="DV27" s="6"/>
      <c r="DW27" s="6"/>
      <c r="DX27" s="6"/>
      <c r="DY27" s="6"/>
      <c r="DZ27" s="6"/>
      <c r="EA27" s="6"/>
      <c r="EB27" s="6"/>
      <c r="EC27" s="6"/>
      <c r="ED27" s="6"/>
      <c r="EE27" s="6"/>
      <c r="EF27" s="6"/>
      <c r="EG27" s="6"/>
      <c r="EH27" s="6"/>
      <c r="EI27" s="6"/>
      <c r="EJ27" s="6"/>
      <c r="EK27" s="6"/>
      <c r="EL27" s="6"/>
      <c r="EM27" s="6"/>
      <c r="EN27" s="6"/>
      <c r="EO27" s="6"/>
      <c r="EP27" s="6"/>
      <c r="EQ27" s="6"/>
      <c r="ER27" s="6"/>
      <c r="ES27" s="6"/>
      <c r="ET27" s="6"/>
      <c r="EU27" s="6"/>
      <c r="EV27" s="6"/>
      <c r="EW27" s="6"/>
      <c r="EX27" s="6"/>
      <c r="EY27" s="6"/>
      <c r="EZ27" s="6"/>
      <c r="FA27" s="6"/>
      <c r="FB27" s="6"/>
      <c r="FC27" s="6"/>
      <c r="FD27" s="6"/>
      <c r="FE27" s="6"/>
      <c r="FF27" s="6"/>
      <c r="FG27" s="6"/>
      <c r="FH27" s="6"/>
      <c r="FI27" s="6"/>
      <c r="FJ27" s="6"/>
      <c r="FK27" s="6"/>
      <c r="FL27" s="6"/>
      <c r="FM27" s="6"/>
    </row>
    <row r="28" spans="1:169" x14ac:dyDescent="0.3">
      <c r="A28" s="6"/>
      <c r="B28" s="6"/>
      <c r="C28" s="6"/>
      <c r="D28" s="6"/>
      <c r="E28" s="6"/>
      <c r="F28" s="6"/>
      <c r="G28" s="6"/>
      <c r="H28" s="6"/>
      <c r="I28" s="6"/>
      <c r="J28" s="6"/>
      <c r="K28" s="6"/>
      <c r="L28" s="6"/>
      <c r="M28" s="6"/>
      <c r="N28" s="6"/>
      <c r="O28" s="6"/>
      <c r="P28" s="6"/>
      <c r="Q28" s="6"/>
      <c r="R28" s="6"/>
      <c r="S28" s="6"/>
      <c r="T28" s="6"/>
      <c r="U28" s="6"/>
      <c r="V28" s="6"/>
      <c r="W28" s="6"/>
      <c r="X28" s="6"/>
      <c r="Y28" s="6"/>
      <c r="Z28" s="6"/>
      <c r="AA28" s="6"/>
      <c r="AB28" s="6"/>
      <c r="AC28" s="6"/>
      <c r="AD28" s="6"/>
      <c r="AE28" s="6"/>
      <c r="AF28" s="6"/>
      <c r="AG28" s="6"/>
      <c r="AH28" s="6"/>
      <c r="AI28" s="6"/>
      <c r="AJ28" s="6"/>
      <c r="AK28" s="6"/>
      <c r="AL28" s="6"/>
      <c r="AM28" s="6"/>
      <c r="AN28" s="6"/>
      <c r="AO28" s="6"/>
      <c r="AP28" s="6"/>
      <c r="AQ28" s="6"/>
      <c r="AR28" s="6"/>
      <c r="AS28" s="6"/>
      <c r="AT28" s="6"/>
      <c r="AU28" s="6"/>
      <c r="AV28" s="6"/>
      <c r="AW28" s="6"/>
      <c r="AX28" s="6"/>
      <c r="AY28" s="6"/>
      <c r="AZ28" s="6"/>
      <c r="BA28" s="6"/>
      <c r="BB28" s="6"/>
      <c r="BC28" s="6"/>
      <c r="BD28" s="6"/>
      <c r="BE28" s="6"/>
      <c r="BF28" s="6"/>
      <c r="BG28" s="6"/>
      <c r="BH28" s="6"/>
      <c r="BI28" s="6"/>
      <c r="BJ28" s="6"/>
      <c r="BK28" s="6"/>
      <c r="BL28" s="6"/>
      <c r="BM28" s="6"/>
      <c r="BN28" s="6"/>
      <c r="BO28" s="6"/>
      <c r="BP28" s="6"/>
      <c r="BQ28" s="6"/>
      <c r="BR28" s="6"/>
      <c r="BS28" s="6"/>
      <c r="BT28" s="6"/>
      <c r="BU28" s="6"/>
      <c r="BV28" s="6"/>
      <c r="BW28" s="6"/>
      <c r="BX28" s="6"/>
      <c r="BY28" s="6"/>
      <c r="BZ28" s="6"/>
      <c r="CA28" s="6"/>
      <c r="CB28" s="6"/>
      <c r="CC28" s="6"/>
      <c r="CD28" s="6"/>
      <c r="CE28" s="6"/>
      <c r="CF28" s="6"/>
      <c r="CG28" s="6"/>
      <c r="CH28" s="6"/>
      <c r="CI28" s="6"/>
      <c r="CJ28" s="6"/>
      <c r="CK28" s="6"/>
      <c r="CL28" s="6"/>
      <c r="CM28" s="6"/>
      <c r="CN28" s="6"/>
      <c r="CO28" s="6"/>
      <c r="CP28" s="6"/>
      <c r="CQ28" s="6"/>
      <c r="CR28" s="6"/>
      <c r="CS28" s="6"/>
      <c r="CT28" s="6"/>
      <c r="CU28" s="6"/>
      <c r="CV28" s="6"/>
      <c r="CW28" s="6"/>
      <c r="CX28" s="6"/>
      <c r="CY28" s="6"/>
      <c r="CZ28" s="6"/>
      <c r="DA28" s="6"/>
      <c r="DB28" s="6"/>
      <c r="DC28" s="6"/>
      <c r="DD28" s="6"/>
      <c r="DE28" s="6"/>
      <c r="DF28" s="6"/>
      <c r="DG28" s="6"/>
      <c r="DH28" s="6"/>
      <c r="DI28" s="6"/>
      <c r="DJ28" s="6"/>
      <c r="DK28" s="6"/>
      <c r="DL28" s="6"/>
      <c r="DM28" s="6"/>
      <c r="DN28" s="6"/>
      <c r="DO28" s="6"/>
      <c r="DP28" s="6"/>
      <c r="DQ28" s="6"/>
      <c r="DR28" s="6"/>
      <c r="DS28" s="6"/>
      <c r="DT28" s="6"/>
      <c r="DU28" s="6"/>
      <c r="DV28" s="6"/>
      <c r="DW28" s="6"/>
      <c r="DX28" s="6"/>
      <c r="DY28" s="6"/>
      <c r="DZ28" s="6"/>
      <c r="EA28" s="6"/>
      <c r="EB28" s="6"/>
      <c r="EC28" s="6"/>
      <c r="ED28" s="6"/>
      <c r="EE28" s="6"/>
      <c r="EF28" s="6"/>
      <c r="EG28" s="6"/>
      <c r="EH28" s="6"/>
      <c r="EI28" s="6"/>
      <c r="EJ28" s="6"/>
      <c r="EK28" s="6"/>
      <c r="EL28" s="6"/>
      <c r="EM28" s="6"/>
      <c r="EN28" s="6"/>
      <c r="EO28" s="6"/>
      <c r="EP28" s="6"/>
      <c r="EQ28" s="6"/>
      <c r="ER28" s="6"/>
      <c r="ES28" s="6"/>
      <c r="ET28" s="6"/>
      <c r="EU28" s="6"/>
      <c r="EV28" s="6"/>
      <c r="EW28" s="6"/>
      <c r="EX28" s="6"/>
      <c r="EY28" s="6"/>
      <c r="EZ28" s="6"/>
      <c r="FA28" s="6"/>
      <c r="FB28" s="6"/>
      <c r="FC28" s="6"/>
      <c r="FD28" s="6"/>
      <c r="FE28" s="6"/>
      <c r="FF28" s="6"/>
      <c r="FG28" s="6"/>
      <c r="FH28" s="6"/>
      <c r="FI28" s="6"/>
      <c r="FJ28" s="6"/>
      <c r="FK28" s="6"/>
      <c r="FL28" s="6"/>
      <c r="FM28" s="6"/>
    </row>
    <row r="29" spans="1:169" x14ac:dyDescent="0.3">
      <c r="A29" s="6"/>
      <c r="B29" s="6"/>
      <c r="C29" s="6"/>
      <c r="D29" s="6"/>
      <c r="E29" s="6"/>
      <c r="F29" s="6"/>
      <c r="G29" s="6"/>
      <c r="H29" s="6"/>
      <c r="I29" s="6"/>
      <c r="J29" s="6"/>
      <c r="K29" s="6"/>
      <c r="L29" s="6"/>
      <c r="M29" s="6"/>
      <c r="N29" s="6"/>
      <c r="O29" s="6"/>
      <c r="P29" s="6"/>
      <c r="Q29" s="6"/>
      <c r="R29" s="6"/>
      <c r="S29" s="6"/>
      <c r="T29" s="6"/>
      <c r="U29" s="6"/>
      <c r="V29" s="6"/>
      <c r="W29" s="6"/>
      <c r="X29" s="6"/>
      <c r="Y29" s="6"/>
      <c r="Z29" s="6"/>
      <c r="AA29" s="6"/>
      <c r="AB29" s="6"/>
      <c r="AC29" s="6"/>
      <c r="AD29" s="6"/>
      <c r="AE29" s="6"/>
      <c r="AF29" s="6"/>
      <c r="AG29" s="6"/>
      <c r="AH29" s="6"/>
      <c r="AI29" s="6"/>
      <c r="AJ29" s="6"/>
      <c r="AK29" s="6"/>
      <c r="AL29" s="6"/>
      <c r="AM29" s="6"/>
      <c r="AN29" s="6"/>
      <c r="AO29" s="6"/>
      <c r="AP29" s="6"/>
      <c r="AQ29" s="6"/>
      <c r="AR29" s="6"/>
      <c r="AS29" s="6"/>
      <c r="AT29" s="6"/>
      <c r="AU29" s="6"/>
      <c r="AV29" s="6"/>
      <c r="AW29" s="6"/>
      <c r="AX29" s="6"/>
      <c r="AY29" s="6"/>
      <c r="AZ29" s="6"/>
      <c r="BA29" s="6"/>
      <c r="BB29" s="6"/>
      <c r="BC29" s="6"/>
      <c r="BD29" s="6"/>
      <c r="BE29" s="6"/>
      <c r="BF29" s="6"/>
      <c r="BG29" s="6"/>
      <c r="BH29" s="6"/>
      <c r="BI29" s="6"/>
      <c r="BJ29" s="6"/>
      <c r="BK29" s="6"/>
      <c r="BL29" s="6"/>
      <c r="BM29" s="6"/>
      <c r="BN29" s="6"/>
      <c r="BO29" s="6"/>
      <c r="BP29" s="6"/>
      <c r="BQ29" s="6"/>
      <c r="BR29" s="6"/>
      <c r="BS29" s="6"/>
      <c r="BT29" s="6"/>
      <c r="BU29" s="6"/>
      <c r="BV29" s="6"/>
      <c r="BW29" s="6"/>
      <c r="BX29" s="6"/>
      <c r="BY29" s="6"/>
      <c r="BZ29" s="6"/>
      <c r="CA29" s="6"/>
      <c r="CB29" s="6"/>
      <c r="CC29" s="6"/>
      <c r="CD29" s="6"/>
      <c r="CE29" s="6"/>
      <c r="CF29" s="6"/>
      <c r="CG29" s="6"/>
      <c r="CH29" s="6"/>
      <c r="CI29" s="6"/>
      <c r="CJ29" s="6"/>
      <c r="CK29" s="6"/>
      <c r="CL29" s="6"/>
      <c r="CM29" s="6"/>
      <c r="CN29" s="6"/>
      <c r="CO29" s="6"/>
      <c r="CP29" s="6"/>
      <c r="CQ29" s="6"/>
      <c r="CR29" s="6"/>
      <c r="CS29" s="6"/>
      <c r="CT29" s="6"/>
      <c r="CU29" s="6"/>
      <c r="CV29" s="6"/>
      <c r="CW29" s="6"/>
      <c r="CX29" s="6"/>
      <c r="CY29" s="6"/>
      <c r="CZ29" s="6"/>
      <c r="DA29" s="6"/>
      <c r="DB29" s="6"/>
      <c r="DC29" s="6"/>
      <c r="DD29" s="6"/>
      <c r="DE29" s="6"/>
      <c r="DF29" s="6"/>
      <c r="DG29" s="6"/>
      <c r="DH29" s="6"/>
      <c r="DI29" s="6"/>
      <c r="DJ29" s="6"/>
      <c r="DK29" s="6"/>
      <c r="DL29" s="6"/>
      <c r="DM29" s="6"/>
      <c r="DN29" s="6"/>
      <c r="DO29" s="6"/>
      <c r="DP29" s="6"/>
      <c r="DQ29" s="6"/>
      <c r="DR29" s="6"/>
      <c r="DS29" s="6"/>
      <c r="DT29" s="6"/>
      <c r="DU29" s="6"/>
      <c r="DV29" s="6"/>
      <c r="DW29" s="6"/>
      <c r="DX29" s="6"/>
      <c r="DY29" s="6"/>
      <c r="DZ29" s="6"/>
      <c r="EA29" s="6"/>
      <c r="EB29" s="6"/>
      <c r="EC29" s="6"/>
      <c r="ED29" s="6"/>
      <c r="EE29" s="6"/>
      <c r="EF29" s="6"/>
      <c r="EG29" s="6"/>
      <c r="EH29" s="6"/>
      <c r="EI29" s="6"/>
      <c r="EJ29" s="6"/>
      <c r="EK29" s="6"/>
      <c r="EL29" s="6"/>
      <c r="EM29" s="6"/>
      <c r="EN29" s="6"/>
      <c r="EO29" s="6"/>
      <c r="EP29" s="6"/>
      <c r="EQ29" s="6"/>
      <c r="ER29" s="6"/>
      <c r="ES29" s="6"/>
      <c r="ET29" s="6"/>
      <c r="EU29" s="6"/>
      <c r="EV29" s="6"/>
      <c r="EW29" s="6"/>
      <c r="EX29" s="6"/>
      <c r="EY29" s="6"/>
      <c r="EZ29" s="6"/>
      <c r="FA29" s="6"/>
      <c r="FB29" s="6"/>
      <c r="FC29" s="6"/>
      <c r="FD29" s="6"/>
      <c r="FE29" s="6"/>
      <c r="FF29" s="6"/>
      <c r="FG29" s="6"/>
      <c r="FH29" s="6"/>
      <c r="FI29" s="6"/>
      <c r="FJ29" s="6"/>
      <c r="FK29" s="6"/>
      <c r="FL29" s="6"/>
      <c r="FM29" s="6"/>
    </row>
    <row r="30" spans="1:169" x14ac:dyDescent="0.3">
      <c r="A30" s="6"/>
      <c r="B30" s="6"/>
      <c r="C30" s="6"/>
      <c r="D30" s="6"/>
      <c r="E30" s="6"/>
      <c r="F30" s="6"/>
      <c r="G30" s="6"/>
      <c r="H30" s="6"/>
      <c r="I30" s="6"/>
      <c r="J30" s="6"/>
      <c r="K30" s="6"/>
      <c r="L30" s="6"/>
      <c r="M30" s="6"/>
      <c r="N30" s="6"/>
      <c r="O30" s="6"/>
      <c r="P30" s="6"/>
      <c r="Q30" s="6"/>
      <c r="R30" s="6"/>
      <c r="S30" s="6"/>
      <c r="T30" s="6"/>
      <c r="U30" s="6"/>
      <c r="V30" s="6"/>
      <c r="W30" s="6"/>
      <c r="X30" s="6"/>
      <c r="Y30" s="6"/>
      <c r="Z30" s="6"/>
      <c r="AA30" s="6"/>
      <c r="AB30" s="6"/>
      <c r="AC30" s="6"/>
      <c r="AD30" s="6"/>
      <c r="AE30" s="6"/>
      <c r="AF30" s="6"/>
      <c r="AG30" s="6"/>
      <c r="AH30" s="6"/>
      <c r="AI30" s="6"/>
      <c r="AJ30" s="6"/>
      <c r="AK30" s="6"/>
      <c r="AL30" s="6"/>
      <c r="AM30" s="6"/>
      <c r="AN30" s="6"/>
      <c r="AO30" s="6"/>
      <c r="AP30" s="6"/>
      <c r="AQ30" s="6"/>
      <c r="AR30" s="6"/>
      <c r="AS30" s="6"/>
      <c r="AT30" s="6"/>
      <c r="AU30" s="6"/>
      <c r="AV30" s="6"/>
      <c r="AW30" s="6"/>
      <c r="AX30" s="6"/>
      <c r="AY30" s="6"/>
      <c r="AZ30" s="6"/>
      <c r="BA30" s="6"/>
      <c r="BB30" s="6"/>
      <c r="BC30" s="6"/>
      <c r="BD30" s="6"/>
      <c r="BE30" s="6"/>
      <c r="BF30" s="6"/>
      <c r="BG30" s="6"/>
      <c r="BH30" s="6"/>
      <c r="BI30" s="6"/>
      <c r="BJ30" s="6"/>
      <c r="BK30" s="6"/>
      <c r="BL30" s="6"/>
      <c r="BM30" s="6"/>
      <c r="BN30" s="6"/>
      <c r="BO30" s="6"/>
      <c r="BP30" s="6"/>
      <c r="BQ30" s="6"/>
      <c r="BR30" s="6"/>
      <c r="BS30" s="6"/>
      <c r="BT30" s="6"/>
      <c r="BU30" s="6"/>
      <c r="BV30" s="6"/>
      <c r="BW30" s="6"/>
      <c r="BX30" s="6"/>
      <c r="BY30" s="6"/>
      <c r="BZ30" s="6"/>
      <c r="CA30" s="6"/>
      <c r="CB30" s="6"/>
      <c r="CC30" s="6"/>
      <c r="CD30" s="6"/>
      <c r="CE30" s="6"/>
      <c r="CF30" s="6"/>
      <c r="CG30" s="6"/>
      <c r="CH30" s="6"/>
      <c r="CI30" s="6"/>
      <c r="CJ30" s="6"/>
      <c r="CK30" s="6"/>
      <c r="CL30" s="6"/>
      <c r="CM30" s="6"/>
      <c r="CN30" s="6"/>
      <c r="CO30" s="6"/>
      <c r="CP30" s="6"/>
      <c r="CQ30" s="6"/>
      <c r="CR30" s="6"/>
      <c r="CS30" s="6"/>
      <c r="CT30" s="6"/>
      <c r="CU30" s="6"/>
      <c r="CV30" s="6"/>
      <c r="CW30" s="6"/>
      <c r="CX30" s="6"/>
      <c r="CY30" s="6"/>
      <c r="CZ30" s="6"/>
      <c r="DA30" s="6"/>
      <c r="DB30" s="6"/>
      <c r="DC30" s="6"/>
      <c r="DD30" s="6"/>
      <c r="DE30" s="6"/>
      <c r="DF30" s="6"/>
      <c r="DG30" s="6"/>
      <c r="DH30" s="6"/>
      <c r="DI30" s="6"/>
      <c r="DJ30" s="6"/>
      <c r="DK30" s="6"/>
      <c r="DL30" s="6"/>
      <c r="DM30" s="6"/>
      <c r="DN30" s="6"/>
      <c r="DO30" s="6"/>
      <c r="DP30" s="6"/>
      <c r="DQ30" s="6"/>
      <c r="DR30" s="6"/>
      <c r="DS30" s="6"/>
      <c r="DT30" s="6"/>
      <c r="DU30" s="6"/>
      <c r="DV30" s="6"/>
      <c r="DW30" s="6"/>
      <c r="DX30" s="6"/>
      <c r="DY30" s="6"/>
      <c r="DZ30" s="6"/>
      <c r="EA30" s="6"/>
      <c r="EB30" s="6"/>
      <c r="EC30" s="6"/>
      <c r="ED30" s="6"/>
      <c r="EE30" s="6"/>
      <c r="EF30" s="6"/>
      <c r="EG30" s="6"/>
      <c r="EH30" s="6"/>
      <c r="EI30" s="6"/>
      <c r="EJ30" s="6"/>
      <c r="EK30" s="6"/>
      <c r="EL30" s="6"/>
      <c r="EM30" s="6"/>
      <c r="EN30" s="6"/>
      <c r="EO30" s="6"/>
      <c r="EP30" s="6"/>
      <c r="EQ30" s="6"/>
      <c r="ER30" s="6"/>
      <c r="ES30" s="6"/>
      <c r="ET30" s="6"/>
      <c r="EU30" s="6"/>
      <c r="EV30" s="6"/>
      <c r="EW30" s="6"/>
      <c r="EX30" s="6"/>
      <c r="EY30" s="6"/>
      <c r="EZ30" s="6"/>
      <c r="FA30" s="6"/>
      <c r="FB30" s="6"/>
      <c r="FC30" s="6"/>
      <c r="FD30" s="6"/>
      <c r="FE30" s="6"/>
      <c r="FF30" s="6"/>
      <c r="FG30" s="6"/>
      <c r="FH30" s="6"/>
      <c r="FI30" s="6"/>
      <c r="FJ30" s="6"/>
      <c r="FK30" s="6"/>
      <c r="FL30" s="6"/>
      <c r="FM30" s="6"/>
    </row>
    <row r="31" spans="1:169" x14ac:dyDescent="0.3">
      <c r="A31" s="6"/>
      <c r="B31" s="6"/>
      <c r="C31" s="6"/>
      <c r="D31" s="6"/>
      <c r="E31" s="6"/>
      <c r="F31" s="6"/>
      <c r="G31" s="6"/>
      <c r="H31" s="6"/>
      <c r="I31" s="6"/>
      <c r="J31" s="6"/>
      <c r="K31" s="6"/>
      <c r="L31" s="6"/>
      <c r="M31" s="6"/>
      <c r="N31" s="6"/>
      <c r="O31" s="6"/>
      <c r="P31" s="6"/>
      <c r="Q31" s="6"/>
      <c r="R31" s="6"/>
      <c r="S31" s="6"/>
      <c r="T31" s="6"/>
      <c r="U31" s="6"/>
      <c r="V31" s="6"/>
      <c r="W31" s="6"/>
      <c r="X31" s="6"/>
      <c r="Y31" s="6"/>
      <c r="Z31" s="6"/>
      <c r="AA31" s="6"/>
      <c r="AB31" s="6"/>
      <c r="AC31" s="6"/>
      <c r="AD31" s="6"/>
      <c r="AE31" s="6"/>
      <c r="AF31" s="6"/>
      <c r="AG31" s="6"/>
      <c r="AH31" s="6"/>
      <c r="AI31" s="6"/>
      <c r="AJ31" s="6"/>
      <c r="AK31" s="6"/>
      <c r="AL31" s="6"/>
      <c r="AM31" s="6"/>
      <c r="AN31" s="6"/>
      <c r="AO31" s="6"/>
      <c r="AP31" s="6"/>
      <c r="AQ31" s="6"/>
      <c r="AR31" s="6"/>
      <c r="AS31" s="6"/>
      <c r="AT31" s="6"/>
      <c r="AU31" s="6"/>
      <c r="AV31" s="6"/>
      <c r="AW31" s="6"/>
      <c r="AX31" s="6"/>
      <c r="AY31" s="6"/>
      <c r="AZ31" s="6"/>
      <c r="BA31" s="6"/>
      <c r="BB31" s="6"/>
      <c r="BC31" s="6"/>
      <c r="BD31" s="6"/>
      <c r="BE31" s="6"/>
      <c r="BF31" s="6"/>
      <c r="BG31" s="6"/>
      <c r="BH31" s="6"/>
      <c r="BI31" s="6"/>
      <c r="BJ31" s="6"/>
      <c r="BK31" s="6"/>
      <c r="BL31" s="6"/>
      <c r="BM31" s="6"/>
      <c r="BN31" s="6"/>
      <c r="BO31" s="6"/>
      <c r="BP31" s="6"/>
      <c r="BQ31" s="6"/>
      <c r="BR31" s="6"/>
      <c r="BS31" s="6"/>
      <c r="BT31" s="6"/>
      <c r="BU31" s="6"/>
      <c r="BV31" s="6"/>
      <c r="BW31" s="6"/>
      <c r="BX31" s="6"/>
      <c r="BY31" s="6"/>
      <c r="BZ31" s="6"/>
      <c r="CA31" s="6"/>
      <c r="CB31" s="6"/>
      <c r="CC31" s="6"/>
      <c r="CD31" s="6"/>
      <c r="CE31" s="6"/>
      <c r="CF31" s="6"/>
      <c r="CG31" s="6"/>
      <c r="CH31" s="6"/>
      <c r="CI31" s="6"/>
      <c r="CJ31" s="6"/>
      <c r="CK31" s="6"/>
      <c r="CL31" s="6"/>
      <c r="CM31" s="6"/>
      <c r="CN31" s="6"/>
      <c r="CO31" s="6"/>
      <c r="CP31" s="6"/>
      <c r="CQ31" s="6"/>
      <c r="CR31" s="6"/>
      <c r="CS31" s="6"/>
      <c r="CT31" s="6"/>
      <c r="CU31" s="6"/>
      <c r="CV31" s="6"/>
      <c r="CW31" s="6"/>
      <c r="CX31" s="6"/>
      <c r="CY31" s="6"/>
      <c r="CZ31" s="6"/>
      <c r="DA31" s="6"/>
      <c r="DB31" s="6"/>
      <c r="DC31" s="6"/>
      <c r="DD31" s="6"/>
      <c r="DE31" s="6"/>
      <c r="DF31" s="6"/>
      <c r="DG31" s="6"/>
      <c r="DH31" s="6"/>
      <c r="DI31" s="6"/>
      <c r="DJ31" s="6"/>
      <c r="DK31" s="6"/>
      <c r="DL31" s="6"/>
      <c r="DM31" s="6"/>
      <c r="DN31" s="6"/>
      <c r="DO31" s="6"/>
      <c r="DP31" s="6"/>
      <c r="DQ31" s="6"/>
      <c r="DR31" s="6"/>
      <c r="DS31" s="6"/>
      <c r="DT31" s="6"/>
      <c r="DU31" s="6"/>
      <c r="DV31" s="6"/>
      <c r="DW31" s="6"/>
      <c r="DX31" s="6"/>
      <c r="DY31" s="6"/>
      <c r="DZ31" s="6"/>
      <c r="EA31" s="6"/>
      <c r="EB31" s="6"/>
      <c r="EC31" s="6"/>
      <c r="ED31" s="6"/>
      <c r="EE31" s="6"/>
      <c r="EF31" s="6"/>
      <c r="EG31" s="6"/>
      <c r="EH31" s="6"/>
      <c r="EI31" s="6"/>
      <c r="EJ31" s="6"/>
      <c r="EK31" s="6"/>
      <c r="EL31" s="6"/>
      <c r="EM31" s="6"/>
      <c r="EN31" s="6"/>
      <c r="EO31" s="6"/>
      <c r="EP31" s="6"/>
      <c r="EQ31" s="6"/>
      <c r="ER31" s="6"/>
      <c r="ES31" s="6"/>
      <c r="ET31" s="6"/>
      <c r="EU31" s="6"/>
      <c r="EV31" s="6"/>
      <c r="EW31" s="6"/>
      <c r="EX31" s="6"/>
      <c r="EY31" s="6"/>
      <c r="EZ31" s="6"/>
      <c r="FA31" s="6"/>
      <c r="FB31" s="6"/>
      <c r="FC31" s="6"/>
      <c r="FD31" s="6"/>
      <c r="FE31" s="6"/>
      <c r="FF31" s="6"/>
      <c r="FG31" s="6"/>
      <c r="FH31" s="6"/>
      <c r="FI31" s="6"/>
      <c r="FJ31" s="6"/>
      <c r="FK31" s="6"/>
      <c r="FL31" s="6"/>
      <c r="FM31" s="6"/>
    </row>
    <row r="32" spans="1:169" x14ac:dyDescent="0.3">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6"/>
      <c r="AC32" s="6"/>
      <c r="AD32" s="6"/>
      <c r="AE32" s="6"/>
      <c r="AF32" s="6"/>
      <c r="AG32" s="6"/>
      <c r="AH32" s="6"/>
      <c r="AI32" s="6"/>
      <c r="AJ32" s="6"/>
      <c r="AK32" s="6"/>
      <c r="AL32" s="6"/>
      <c r="AM32" s="6"/>
      <c r="AN32" s="6"/>
      <c r="AO32" s="6"/>
      <c r="AP32" s="6"/>
      <c r="AQ32" s="6"/>
      <c r="AR32" s="6"/>
      <c r="AS32" s="6"/>
      <c r="AT32" s="6"/>
      <c r="AU32" s="6"/>
      <c r="AV32" s="6"/>
      <c r="AW32" s="6"/>
      <c r="AX32" s="6"/>
      <c r="AY32" s="6"/>
      <c r="AZ32" s="6"/>
      <c r="BA32" s="6"/>
      <c r="BB32" s="6"/>
      <c r="BC32" s="6"/>
      <c r="BD32" s="6"/>
      <c r="BE32" s="6"/>
      <c r="BF32" s="6"/>
      <c r="BG32" s="6"/>
      <c r="BH32" s="6"/>
      <c r="BI32" s="6"/>
      <c r="BJ32" s="6"/>
      <c r="BK32" s="6"/>
      <c r="BL32" s="6"/>
      <c r="BM32" s="6"/>
      <c r="BN32" s="6"/>
      <c r="BO32" s="6"/>
      <c r="BP32" s="6"/>
      <c r="BQ32" s="6"/>
      <c r="BR32" s="6"/>
      <c r="BS32" s="6"/>
      <c r="BT32" s="6"/>
      <c r="BU32" s="6"/>
      <c r="BV32" s="6"/>
      <c r="BW32" s="6"/>
      <c r="BX32" s="6"/>
      <c r="BY32" s="6"/>
      <c r="BZ32" s="6"/>
      <c r="CA32" s="6"/>
      <c r="CB32" s="6"/>
      <c r="CC32" s="6"/>
      <c r="CD32" s="6"/>
      <c r="CE32" s="6"/>
      <c r="CF32" s="6"/>
      <c r="CG32" s="6"/>
      <c r="CH32" s="6"/>
      <c r="CI32" s="6"/>
      <c r="CJ32" s="6"/>
      <c r="CK32" s="6"/>
      <c r="CL32" s="6"/>
      <c r="CM32" s="6"/>
      <c r="CN32" s="6"/>
      <c r="CO32" s="6"/>
      <c r="CP32" s="6"/>
      <c r="CQ32" s="6"/>
      <c r="CR32" s="6"/>
      <c r="CS32" s="6"/>
      <c r="CT32" s="6"/>
      <c r="CU32" s="6"/>
      <c r="CV32" s="6"/>
      <c r="CW32" s="6"/>
      <c r="CX32" s="6"/>
      <c r="CY32" s="6"/>
      <c r="CZ32" s="6"/>
      <c r="DA32" s="6"/>
      <c r="DB32" s="6"/>
      <c r="DC32" s="6"/>
      <c r="DD32" s="6"/>
      <c r="DE32" s="6"/>
      <c r="DF32" s="6"/>
      <c r="DG32" s="6"/>
      <c r="DH32" s="6"/>
      <c r="DI32" s="6"/>
      <c r="DJ32" s="6"/>
      <c r="DK32" s="6"/>
      <c r="DL32" s="6"/>
      <c r="DM32" s="6"/>
      <c r="DN32" s="6"/>
      <c r="DO32" s="6"/>
      <c r="DP32" s="6"/>
      <c r="DQ32" s="6"/>
      <c r="DR32" s="6"/>
      <c r="DS32" s="6"/>
      <c r="DT32" s="6"/>
      <c r="DU32" s="6"/>
      <c r="DV32" s="6"/>
      <c r="DW32" s="6"/>
      <c r="DX32" s="6"/>
      <c r="DY32" s="6"/>
      <c r="DZ32" s="6"/>
      <c r="EA32" s="6"/>
      <c r="EB32" s="6"/>
      <c r="EC32" s="6"/>
      <c r="ED32" s="6"/>
      <c r="EE32" s="6"/>
      <c r="EF32" s="6"/>
      <c r="EG32" s="6"/>
      <c r="EH32" s="6"/>
      <c r="EI32" s="6"/>
      <c r="EJ32" s="6"/>
      <c r="EK32" s="6"/>
      <c r="EL32" s="6"/>
      <c r="EM32" s="6"/>
      <c r="EN32" s="6"/>
      <c r="EO32" s="6"/>
      <c r="EP32" s="6"/>
      <c r="EQ32" s="6"/>
      <c r="ER32" s="6"/>
      <c r="ES32" s="6"/>
      <c r="ET32" s="6"/>
      <c r="EU32" s="6"/>
      <c r="EV32" s="6"/>
      <c r="EW32" s="6"/>
      <c r="EX32" s="6"/>
      <c r="EY32" s="6"/>
      <c r="EZ32" s="6"/>
      <c r="FA32" s="6"/>
      <c r="FB32" s="6"/>
      <c r="FC32" s="6"/>
      <c r="FD32" s="6"/>
      <c r="FE32" s="6"/>
      <c r="FF32" s="6"/>
      <c r="FG32" s="6"/>
      <c r="FH32" s="6"/>
      <c r="FI32" s="6"/>
      <c r="FJ32" s="6"/>
      <c r="FK32" s="6"/>
      <c r="FL32" s="6"/>
      <c r="FM32" s="6"/>
    </row>
    <row r="33" spans="1:169" x14ac:dyDescent="0.3">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c r="AI33" s="6"/>
      <c r="AJ33" s="6"/>
      <c r="AK33" s="6"/>
      <c r="AL33" s="6"/>
      <c r="AM33" s="6"/>
      <c r="AN33" s="6"/>
      <c r="AO33" s="6"/>
      <c r="AP33" s="6"/>
      <c r="AQ33" s="6"/>
      <c r="AR33" s="6"/>
      <c r="AS33" s="6"/>
      <c r="AT33" s="6"/>
      <c r="AU33" s="6"/>
      <c r="AV33" s="6"/>
      <c r="AW33" s="6"/>
      <c r="AX33" s="6"/>
      <c r="AY33" s="6"/>
      <c r="AZ33" s="6"/>
      <c r="BA33" s="6"/>
      <c r="BB33" s="6"/>
      <c r="BC33" s="6"/>
      <c r="BD33" s="6"/>
      <c r="BE33" s="6"/>
      <c r="BF33" s="6"/>
      <c r="BG33" s="6"/>
      <c r="BH33" s="6"/>
      <c r="BI33" s="6"/>
      <c r="BJ33" s="6"/>
      <c r="BK33" s="6"/>
      <c r="BL33" s="6"/>
      <c r="BM33" s="6"/>
      <c r="BN33" s="6"/>
      <c r="BO33" s="6"/>
      <c r="BP33" s="6"/>
      <c r="BQ33" s="6"/>
      <c r="BR33" s="6"/>
      <c r="BS33" s="6"/>
      <c r="BT33" s="6"/>
      <c r="BU33" s="6"/>
      <c r="BV33" s="6"/>
      <c r="BW33" s="6"/>
      <c r="BX33" s="6"/>
      <c r="BY33" s="6"/>
      <c r="BZ33" s="6"/>
      <c r="CA33" s="6"/>
      <c r="CB33" s="6"/>
      <c r="CC33" s="6"/>
      <c r="CD33" s="6"/>
      <c r="CE33" s="6"/>
      <c r="CF33" s="6"/>
      <c r="CG33" s="6"/>
      <c r="CH33" s="6"/>
      <c r="CI33" s="6"/>
      <c r="CJ33" s="6"/>
      <c r="CK33" s="6"/>
      <c r="CL33" s="6"/>
      <c r="CM33" s="6"/>
      <c r="CN33" s="6"/>
      <c r="CO33" s="6"/>
      <c r="CP33" s="6"/>
      <c r="CQ33" s="6"/>
      <c r="CR33" s="6"/>
      <c r="CS33" s="6"/>
      <c r="CT33" s="6"/>
      <c r="CU33" s="6"/>
      <c r="CV33" s="6"/>
      <c r="CW33" s="6"/>
      <c r="CX33" s="6"/>
      <c r="CY33" s="6"/>
      <c r="CZ33" s="6"/>
      <c r="DA33" s="6"/>
      <c r="DB33" s="6"/>
      <c r="DC33" s="6"/>
      <c r="DD33" s="6"/>
      <c r="DE33" s="6"/>
      <c r="DF33" s="6"/>
      <c r="DG33" s="6"/>
      <c r="DH33" s="6"/>
      <c r="DI33" s="6"/>
      <c r="DJ33" s="6"/>
      <c r="DK33" s="6"/>
      <c r="DL33" s="6"/>
      <c r="DM33" s="6"/>
      <c r="DN33" s="6"/>
      <c r="DO33" s="6"/>
      <c r="DP33" s="6"/>
      <c r="DQ33" s="6"/>
      <c r="DR33" s="6"/>
      <c r="DS33" s="6"/>
      <c r="DT33" s="6"/>
      <c r="DU33" s="6"/>
      <c r="DV33" s="6"/>
      <c r="DW33" s="6"/>
      <c r="DX33" s="6"/>
      <c r="DY33" s="6"/>
      <c r="DZ33" s="6"/>
      <c r="EA33" s="6"/>
      <c r="EB33" s="6"/>
      <c r="EC33" s="6"/>
      <c r="ED33" s="6"/>
      <c r="EE33" s="6"/>
      <c r="EF33" s="6"/>
      <c r="EG33" s="6"/>
      <c r="EH33" s="6"/>
      <c r="EI33" s="6"/>
      <c r="EJ33" s="6"/>
      <c r="EK33" s="6"/>
      <c r="EL33" s="6"/>
      <c r="EM33" s="6"/>
      <c r="EN33" s="6"/>
      <c r="EO33" s="6"/>
      <c r="EP33" s="6"/>
      <c r="EQ33" s="6"/>
      <c r="ER33" s="6"/>
      <c r="ES33" s="6"/>
      <c r="ET33" s="6"/>
      <c r="EU33" s="6"/>
      <c r="EV33" s="6"/>
      <c r="EW33" s="6"/>
      <c r="EX33" s="6"/>
      <c r="EY33" s="6"/>
      <c r="EZ33" s="6"/>
      <c r="FA33" s="6"/>
      <c r="FB33" s="6"/>
      <c r="FC33" s="6"/>
      <c r="FD33" s="6"/>
      <c r="FE33" s="6"/>
      <c r="FF33" s="6"/>
      <c r="FG33" s="6"/>
      <c r="FH33" s="6"/>
      <c r="FI33" s="6"/>
      <c r="FJ33" s="6"/>
      <c r="FK33" s="6"/>
      <c r="FL33" s="6"/>
      <c r="FM33" s="6"/>
    </row>
    <row r="34" spans="1:169" x14ac:dyDescent="0.3">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c r="AI34" s="6"/>
      <c r="AJ34" s="6"/>
      <c r="AK34" s="6"/>
      <c r="AL34" s="6"/>
      <c r="AM34" s="6"/>
      <c r="AN34" s="6"/>
      <c r="AO34" s="6"/>
      <c r="AP34" s="6"/>
      <c r="AQ34" s="6"/>
      <c r="AR34" s="6"/>
      <c r="AS34" s="6"/>
      <c r="AT34" s="6"/>
      <c r="AU34" s="6"/>
      <c r="AV34" s="6"/>
      <c r="AW34" s="6"/>
      <c r="AX34" s="6"/>
      <c r="AY34" s="6"/>
      <c r="AZ34" s="6"/>
      <c r="BA34" s="6"/>
      <c r="BB34" s="6"/>
      <c r="BC34" s="6"/>
      <c r="BD34" s="6"/>
      <c r="BE34" s="6"/>
      <c r="BF34" s="6"/>
      <c r="BG34" s="6"/>
      <c r="BH34" s="6"/>
      <c r="BI34" s="6"/>
      <c r="BJ34" s="6"/>
      <c r="BK34" s="6"/>
      <c r="BL34" s="6"/>
      <c r="BM34" s="6"/>
      <c r="BN34" s="6"/>
      <c r="BO34" s="6"/>
      <c r="BP34" s="6"/>
      <c r="BQ34" s="6"/>
      <c r="BR34" s="6"/>
      <c r="BS34" s="6"/>
      <c r="BT34" s="6"/>
      <c r="BU34" s="6"/>
      <c r="BV34" s="6"/>
      <c r="BW34" s="6"/>
      <c r="BX34" s="6"/>
      <c r="BY34" s="6"/>
      <c r="BZ34" s="6"/>
      <c r="CA34" s="6"/>
      <c r="CB34" s="6"/>
      <c r="CC34" s="6"/>
      <c r="CD34" s="6"/>
      <c r="CE34" s="6"/>
      <c r="CF34" s="6"/>
      <c r="CG34" s="6"/>
      <c r="CH34" s="6"/>
      <c r="CI34" s="6"/>
      <c r="CJ34" s="6"/>
      <c r="CK34" s="6"/>
      <c r="CL34" s="6"/>
      <c r="CM34" s="6"/>
      <c r="CN34" s="6"/>
      <c r="CO34" s="6"/>
      <c r="CP34" s="6"/>
      <c r="CQ34" s="6"/>
      <c r="CR34" s="6"/>
      <c r="CS34" s="6"/>
      <c r="CT34" s="6"/>
      <c r="CU34" s="6"/>
      <c r="CV34" s="6"/>
      <c r="CW34" s="6"/>
      <c r="CX34" s="6"/>
      <c r="CY34" s="6"/>
      <c r="CZ34" s="6"/>
      <c r="DA34" s="6"/>
      <c r="DB34" s="6"/>
      <c r="DC34" s="6"/>
      <c r="DD34" s="6"/>
      <c r="DE34" s="6"/>
      <c r="DF34" s="6"/>
      <c r="DG34" s="6"/>
      <c r="DH34" s="6"/>
      <c r="DI34" s="6"/>
      <c r="DJ34" s="6"/>
      <c r="DK34" s="6"/>
      <c r="DL34" s="6"/>
      <c r="DM34" s="6"/>
      <c r="DN34" s="6"/>
      <c r="DO34" s="6"/>
      <c r="DP34" s="6"/>
      <c r="DQ34" s="6"/>
      <c r="DR34" s="6"/>
      <c r="DS34" s="6"/>
      <c r="DT34" s="6"/>
      <c r="DU34" s="6"/>
      <c r="DV34" s="6"/>
      <c r="DW34" s="6"/>
      <c r="DX34" s="6"/>
      <c r="DY34" s="6"/>
      <c r="DZ34" s="6"/>
      <c r="EA34" s="6"/>
      <c r="EB34" s="6"/>
      <c r="EC34" s="6"/>
      <c r="ED34" s="6"/>
      <c r="EE34" s="6"/>
      <c r="EF34" s="6"/>
      <c r="EG34" s="6"/>
      <c r="EH34" s="6"/>
      <c r="EI34" s="6"/>
      <c r="EJ34" s="6"/>
      <c r="EK34" s="6"/>
      <c r="EL34" s="6"/>
      <c r="EM34" s="6"/>
      <c r="EN34" s="6"/>
      <c r="EO34" s="6"/>
      <c r="EP34" s="6"/>
      <c r="EQ34" s="6"/>
      <c r="ER34" s="6"/>
      <c r="ES34" s="6"/>
      <c r="ET34" s="6"/>
      <c r="EU34" s="6"/>
      <c r="EV34" s="6"/>
      <c r="EW34" s="6"/>
      <c r="EX34" s="6"/>
      <c r="EY34" s="6"/>
      <c r="EZ34" s="6"/>
      <c r="FA34" s="6"/>
      <c r="FB34" s="6"/>
      <c r="FC34" s="6"/>
      <c r="FD34" s="6"/>
      <c r="FE34" s="6"/>
      <c r="FF34" s="6"/>
      <c r="FG34" s="6"/>
      <c r="FH34" s="6"/>
      <c r="FI34" s="6"/>
      <c r="FJ34" s="6"/>
      <c r="FK34" s="6"/>
      <c r="FL34" s="6"/>
      <c r="FM34" s="6"/>
    </row>
    <row r="35" spans="1:169" x14ac:dyDescent="0.3">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c r="AI35" s="6"/>
      <c r="AJ35" s="6"/>
      <c r="AK35" s="6"/>
      <c r="AL35" s="6"/>
      <c r="AM35" s="6"/>
      <c r="AN35" s="6"/>
      <c r="AO35" s="6"/>
      <c r="AP35" s="6"/>
      <c r="AQ35" s="6"/>
      <c r="AR35" s="6"/>
      <c r="AS35" s="6"/>
      <c r="AT35" s="6"/>
      <c r="AU35" s="6"/>
      <c r="AV35" s="6"/>
      <c r="AW35" s="6"/>
      <c r="AX35" s="6"/>
      <c r="AY35" s="6"/>
      <c r="AZ35" s="6"/>
      <c r="BA35" s="6"/>
      <c r="BB35" s="6"/>
      <c r="BC35" s="6"/>
      <c r="BD35" s="6"/>
      <c r="BE35" s="6"/>
      <c r="BF35" s="6"/>
      <c r="BG35" s="6"/>
      <c r="BH35" s="6"/>
      <c r="BI35" s="6"/>
      <c r="BJ35" s="6"/>
      <c r="BK35" s="6"/>
      <c r="BL35" s="6"/>
      <c r="BM35" s="6"/>
      <c r="BN35" s="6"/>
      <c r="BO35" s="6"/>
      <c r="BP35" s="6"/>
      <c r="BQ35" s="6"/>
      <c r="BR35" s="6"/>
      <c r="BS35" s="6"/>
      <c r="BT35" s="6"/>
      <c r="BU35" s="6"/>
      <c r="BV35" s="6"/>
      <c r="BW35" s="6"/>
      <c r="BX35" s="6"/>
      <c r="BY35" s="6"/>
      <c r="BZ35" s="6"/>
      <c r="CA35" s="6"/>
      <c r="CB35" s="6"/>
      <c r="CC35" s="6"/>
      <c r="CD35" s="6"/>
      <c r="CE35" s="6"/>
      <c r="CF35" s="6"/>
      <c r="CG35" s="6"/>
      <c r="CH35" s="6"/>
      <c r="CI35" s="6"/>
      <c r="CJ35" s="6"/>
      <c r="CK35" s="6"/>
      <c r="CL35" s="6"/>
      <c r="CM35" s="6"/>
      <c r="CN35" s="6"/>
      <c r="CO35" s="6"/>
      <c r="CP35" s="6"/>
      <c r="CQ35" s="6"/>
      <c r="CR35" s="6"/>
      <c r="CS35" s="6"/>
      <c r="CT35" s="6"/>
      <c r="CU35" s="6"/>
      <c r="CV35" s="6"/>
      <c r="CW35" s="6"/>
      <c r="CX35" s="6"/>
      <c r="CY35" s="6"/>
      <c r="CZ35" s="6"/>
      <c r="DA35" s="6"/>
      <c r="DB35" s="6"/>
      <c r="DC35" s="6"/>
      <c r="DD35" s="6"/>
      <c r="DE35" s="6"/>
      <c r="DF35" s="6"/>
      <c r="DG35" s="6"/>
      <c r="DH35" s="6"/>
      <c r="DI35" s="6"/>
      <c r="DJ35" s="6"/>
      <c r="DK35" s="6"/>
      <c r="DL35" s="6"/>
      <c r="DM35" s="6"/>
      <c r="DN35" s="6"/>
      <c r="DO35" s="6"/>
      <c r="DP35" s="6"/>
      <c r="DQ35" s="6"/>
      <c r="DR35" s="6"/>
      <c r="DS35" s="6"/>
      <c r="DT35" s="6"/>
      <c r="DU35" s="6"/>
      <c r="DV35" s="6"/>
      <c r="DW35" s="6"/>
      <c r="DX35" s="6"/>
      <c r="DY35" s="6"/>
      <c r="DZ35" s="6"/>
      <c r="EA35" s="6"/>
      <c r="EB35" s="6"/>
      <c r="EC35" s="6"/>
      <c r="ED35" s="6"/>
      <c r="EE35" s="6"/>
      <c r="EF35" s="6"/>
      <c r="EG35" s="6"/>
      <c r="EH35" s="6"/>
      <c r="EI35" s="6"/>
      <c r="EJ35" s="6"/>
      <c r="EK35" s="6"/>
      <c r="EL35" s="6"/>
      <c r="EM35" s="6"/>
      <c r="EN35" s="6"/>
      <c r="EO35" s="6"/>
      <c r="EP35" s="6"/>
      <c r="EQ35" s="6"/>
      <c r="ER35" s="6"/>
      <c r="ES35" s="6"/>
      <c r="ET35" s="6"/>
      <c r="EU35" s="6"/>
      <c r="EV35" s="6"/>
      <c r="EW35" s="6"/>
      <c r="EX35" s="6"/>
      <c r="EY35" s="6"/>
      <c r="EZ35" s="6"/>
      <c r="FA35" s="6"/>
      <c r="FB35" s="6"/>
      <c r="FC35" s="6"/>
      <c r="FD35" s="6"/>
      <c r="FE35" s="6"/>
      <c r="FF35" s="6"/>
      <c r="FG35" s="6"/>
      <c r="FH35" s="6"/>
      <c r="FI35" s="6"/>
      <c r="FJ35" s="6"/>
      <c r="FK35" s="6"/>
      <c r="FL35" s="6"/>
      <c r="FM35" s="6"/>
    </row>
    <row r="36" spans="1:169" x14ac:dyDescent="0.3">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c r="AI36" s="6"/>
      <c r="AJ36" s="6"/>
      <c r="AK36" s="6"/>
      <c r="AL36" s="6"/>
      <c r="AM36" s="6"/>
      <c r="AN36" s="6"/>
      <c r="AO36" s="6"/>
      <c r="AP36" s="6"/>
      <c r="AQ36" s="6"/>
      <c r="AR36" s="6"/>
      <c r="AS36" s="6"/>
      <c r="AT36" s="6"/>
      <c r="AU36" s="6"/>
      <c r="AV36" s="6"/>
      <c r="AW36" s="6"/>
      <c r="AX36" s="6"/>
      <c r="AY36" s="6"/>
      <c r="AZ36" s="6"/>
      <c r="BA36" s="6"/>
      <c r="BB36" s="6"/>
      <c r="BC36" s="6"/>
      <c r="BD36" s="6"/>
      <c r="BE36" s="6"/>
      <c r="BF36" s="6"/>
      <c r="BG36" s="6"/>
      <c r="BH36" s="6"/>
      <c r="BI36" s="6"/>
      <c r="BJ36" s="6"/>
      <c r="BK36" s="6"/>
      <c r="BL36" s="6"/>
      <c r="BM36" s="6"/>
      <c r="BN36" s="6"/>
      <c r="BO36" s="6"/>
      <c r="BP36" s="6"/>
      <c r="BQ36" s="6"/>
      <c r="BR36" s="6"/>
      <c r="BS36" s="6"/>
      <c r="BT36" s="6"/>
      <c r="BU36" s="6"/>
      <c r="BV36" s="6"/>
      <c r="BW36" s="6"/>
      <c r="BX36" s="6"/>
      <c r="BY36" s="6"/>
      <c r="BZ36" s="6"/>
      <c r="CA36" s="6"/>
      <c r="CB36" s="6"/>
      <c r="CC36" s="6"/>
      <c r="CD36" s="6"/>
      <c r="CE36" s="6"/>
      <c r="CF36" s="6"/>
      <c r="CG36" s="6"/>
      <c r="CH36" s="6"/>
      <c r="CI36" s="6"/>
      <c r="CJ36" s="6"/>
      <c r="CK36" s="6"/>
      <c r="CL36" s="6"/>
      <c r="CM36" s="6"/>
      <c r="CN36" s="6"/>
      <c r="CO36" s="6"/>
      <c r="CP36" s="6"/>
      <c r="CQ36" s="6"/>
      <c r="CR36" s="6"/>
      <c r="CS36" s="6"/>
      <c r="CT36" s="6"/>
      <c r="CU36" s="6"/>
      <c r="CV36" s="6"/>
      <c r="CW36" s="6"/>
      <c r="CX36" s="6"/>
      <c r="CY36" s="6"/>
      <c r="CZ36" s="6"/>
      <c r="DA36" s="6"/>
      <c r="DB36" s="6"/>
      <c r="DC36" s="6"/>
      <c r="DD36" s="6"/>
      <c r="DE36" s="6"/>
      <c r="DF36" s="6"/>
      <c r="DG36" s="6"/>
      <c r="DH36" s="6"/>
      <c r="DI36" s="6"/>
      <c r="DJ36" s="6"/>
      <c r="DK36" s="6"/>
      <c r="DL36" s="6"/>
      <c r="DM36" s="6"/>
      <c r="DN36" s="6"/>
      <c r="DO36" s="6"/>
      <c r="DP36" s="6"/>
      <c r="DQ36" s="6"/>
      <c r="DR36" s="6"/>
      <c r="DS36" s="6"/>
      <c r="DT36" s="6"/>
      <c r="DU36" s="6"/>
      <c r="DV36" s="6"/>
      <c r="DW36" s="6"/>
      <c r="DX36" s="6"/>
      <c r="DY36" s="6"/>
      <c r="DZ36" s="6"/>
      <c r="EA36" s="6"/>
      <c r="EB36" s="6"/>
      <c r="EC36" s="6"/>
      <c r="ED36" s="6"/>
      <c r="EE36" s="6"/>
      <c r="EF36" s="6"/>
      <c r="EG36" s="6"/>
      <c r="EH36" s="6"/>
      <c r="EI36" s="6"/>
      <c r="EJ36" s="6"/>
      <c r="EK36" s="6"/>
      <c r="EL36" s="6"/>
      <c r="EM36" s="6"/>
      <c r="EN36" s="6"/>
      <c r="EO36" s="6"/>
      <c r="EP36" s="6"/>
      <c r="EQ36" s="6"/>
      <c r="ER36" s="6"/>
      <c r="ES36" s="6"/>
      <c r="ET36" s="6"/>
      <c r="EU36" s="6"/>
      <c r="EV36" s="6"/>
      <c r="EW36" s="6"/>
      <c r="EX36" s="6"/>
      <c r="EY36" s="6"/>
      <c r="EZ36" s="6"/>
      <c r="FA36" s="6"/>
      <c r="FB36" s="6"/>
      <c r="FC36" s="6"/>
      <c r="FD36" s="6"/>
      <c r="FE36" s="6"/>
      <c r="FF36" s="6"/>
      <c r="FG36" s="6"/>
      <c r="FH36" s="6"/>
      <c r="FI36" s="6"/>
      <c r="FJ36" s="6"/>
      <c r="FK36" s="6"/>
      <c r="FL36" s="6"/>
      <c r="FM36" s="6"/>
    </row>
    <row r="37" spans="1:169" x14ac:dyDescent="0.3">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c r="AI37" s="6"/>
      <c r="AJ37" s="6"/>
      <c r="AK37" s="6"/>
      <c r="AL37" s="6"/>
      <c r="AM37" s="6"/>
      <c r="AN37" s="6"/>
      <c r="AO37" s="6"/>
      <c r="AP37" s="6"/>
      <c r="AQ37" s="6"/>
      <c r="AR37" s="6"/>
      <c r="AS37" s="6"/>
      <c r="AT37" s="6"/>
      <c r="AU37" s="6"/>
      <c r="AV37" s="6"/>
      <c r="AW37" s="6"/>
      <c r="AX37" s="6"/>
      <c r="AY37" s="6"/>
      <c r="AZ37" s="6"/>
      <c r="BA37" s="6"/>
      <c r="BB37" s="6"/>
      <c r="BC37" s="6"/>
      <c r="BD37" s="6"/>
      <c r="BE37" s="6"/>
      <c r="BF37" s="6"/>
      <c r="BG37" s="6"/>
      <c r="BH37" s="6"/>
      <c r="BI37" s="6"/>
      <c r="BJ37" s="6"/>
      <c r="BK37" s="6"/>
      <c r="BL37" s="6"/>
      <c r="BM37" s="6"/>
      <c r="BN37" s="6"/>
      <c r="BO37" s="6"/>
      <c r="BP37" s="6"/>
      <c r="BQ37" s="6"/>
      <c r="BR37" s="6"/>
      <c r="BS37" s="6"/>
      <c r="BT37" s="6"/>
      <c r="BU37" s="6"/>
      <c r="BV37" s="6"/>
      <c r="BW37" s="6"/>
      <c r="BX37" s="6"/>
      <c r="BY37" s="6"/>
      <c r="BZ37" s="6"/>
      <c r="CA37" s="6"/>
      <c r="CB37" s="6"/>
      <c r="CC37" s="6"/>
      <c r="CD37" s="6"/>
      <c r="CE37" s="6"/>
      <c r="CF37" s="6"/>
      <c r="CG37" s="6"/>
      <c r="CH37" s="6"/>
      <c r="CI37" s="6"/>
      <c r="CJ37" s="6"/>
      <c r="CK37" s="6"/>
      <c r="CL37" s="6"/>
      <c r="CM37" s="6"/>
      <c r="CN37" s="6"/>
      <c r="CO37" s="6"/>
      <c r="CP37" s="6"/>
      <c r="CQ37" s="6"/>
      <c r="CR37" s="6"/>
      <c r="CS37" s="6"/>
      <c r="CT37" s="6"/>
      <c r="CU37" s="6"/>
      <c r="CV37" s="6"/>
      <c r="CW37" s="6"/>
      <c r="CX37" s="6"/>
      <c r="CY37" s="6"/>
      <c r="CZ37" s="6"/>
      <c r="DA37" s="6"/>
      <c r="DB37" s="6"/>
      <c r="DC37" s="6"/>
      <c r="DD37" s="6"/>
      <c r="DE37" s="6"/>
      <c r="DF37" s="6"/>
      <c r="DG37" s="6"/>
      <c r="DH37" s="6"/>
      <c r="DI37" s="6"/>
      <c r="DJ37" s="6"/>
      <c r="DK37" s="6"/>
      <c r="DL37" s="6"/>
      <c r="DM37" s="6"/>
      <c r="DN37" s="6"/>
      <c r="DO37" s="6"/>
      <c r="DP37" s="6"/>
      <c r="DQ37" s="6"/>
      <c r="DR37" s="6"/>
      <c r="DS37" s="6"/>
      <c r="DT37" s="6"/>
      <c r="DU37" s="6"/>
      <c r="DV37" s="6"/>
      <c r="DW37" s="6"/>
      <c r="DX37" s="6"/>
      <c r="DY37" s="6"/>
      <c r="DZ37" s="6"/>
      <c r="EA37" s="6"/>
      <c r="EB37" s="6"/>
      <c r="EC37" s="6"/>
      <c r="ED37" s="6"/>
      <c r="EE37" s="6"/>
      <c r="EF37" s="6"/>
      <c r="EG37" s="6"/>
      <c r="EH37" s="6"/>
      <c r="EI37" s="6"/>
      <c r="EJ37" s="6"/>
      <c r="EK37" s="6"/>
      <c r="EL37" s="6"/>
      <c r="EM37" s="6"/>
      <c r="EN37" s="6"/>
      <c r="EO37" s="6"/>
      <c r="EP37" s="6"/>
      <c r="EQ37" s="6"/>
      <c r="ER37" s="6"/>
      <c r="ES37" s="6"/>
      <c r="ET37" s="6"/>
      <c r="EU37" s="6"/>
      <c r="EV37" s="6"/>
      <c r="EW37" s="6"/>
      <c r="EX37" s="6"/>
      <c r="EY37" s="6"/>
      <c r="EZ37" s="6"/>
      <c r="FA37" s="6"/>
      <c r="FB37" s="6"/>
      <c r="FC37" s="6"/>
      <c r="FD37" s="6"/>
      <c r="FE37" s="6"/>
      <c r="FF37" s="6"/>
      <c r="FG37" s="6"/>
      <c r="FH37" s="6"/>
      <c r="FI37" s="6"/>
      <c r="FJ37" s="6"/>
      <c r="FK37" s="6"/>
      <c r="FL37" s="6"/>
      <c r="FM37" s="6"/>
    </row>
    <row r="38" spans="1:169" x14ac:dyDescent="0.3">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c r="AI38" s="6"/>
      <c r="AJ38" s="6"/>
      <c r="AK38" s="6"/>
      <c r="AL38" s="6"/>
      <c r="AM38" s="6"/>
      <c r="AN38" s="6"/>
      <c r="AO38" s="6"/>
      <c r="AP38" s="6"/>
      <c r="AQ38" s="6"/>
      <c r="AR38" s="6"/>
      <c r="AS38" s="6"/>
      <c r="AT38" s="6"/>
      <c r="AU38" s="6"/>
      <c r="AV38" s="6"/>
      <c r="AW38" s="6"/>
      <c r="AX38" s="6"/>
      <c r="AY38" s="6"/>
      <c r="AZ38" s="6"/>
      <c r="BA38" s="6"/>
      <c r="BB38" s="6"/>
      <c r="BC38" s="6"/>
      <c r="BD38" s="6"/>
      <c r="BE38" s="6"/>
      <c r="BF38" s="6"/>
      <c r="BG38" s="6"/>
      <c r="BH38" s="6"/>
      <c r="BI38" s="6"/>
      <c r="BJ38" s="6"/>
      <c r="BK38" s="6"/>
      <c r="BL38" s="6"/>
      <c r="BM38" s="6"/>
      <c r="BN38" s="6"/>
      <c r="BO38" s="6"/>
      <c r="BP38" s="6"/>
      <c r="BQ38" s="6"/>
      <c r="BR38" s="6"/>
      <c r="BS38" s="6"/>
      <c r="BT38" s="6"/>
      <c r="BU38" s="6"/>
      <c r="BV38" s="6"/>
      <c r="BW38" s="6"/>
      <c r="BX38" s="6"/>
      <c r="BY38" s="6"/>
      <c r="BZ38" s="6"/>
      <c r="CA38" s="6"/>
      <c r="CB38" s="6"/>
      <c r="CC38" s="6"/>
      <c r="CD38" s="6"/>
      <c r="CE38" s="6"/>
      <c r="CF38" s="6"/>
      <c r="CG38" s="6"/>
      <c r="CH38" s="6"/>
      <c r="CI38" s="6"/>
      <c r="CJ38" s="6"/>
      <c r="CK38" s="6"/>
      <c r="CL38" s="6"/>
      <c r="CM38" s="6"/>
      <c r="CN38" s="6"/>
      <c r="CO38" s="6"/>
      <c r="CP38" s="6"/>
      <c r="CQ38" s="6"/>
      <c r="CR38" s="6"/>
      <c r="CS38" s="6"/>
      <c r="CT38" s="6"/>
      <c r="CU38" s="6"/>
      <c r="CV38" s="6"/>
      <c r="CW38" s="6"/>
      <c r="CX38" s="6"/>
      <c r="CY38" s="6"/>
      <c r="CZ38" s="6"/>
      <c r="DA38" s="6"/>
      <c r="DB38" s="6"/>
      <c r="DC38" s="6"/>
      <c r="DD38" s="6"/>
      <c r="DE38" s="6"/>
      <c r="DF38" s="6"/>
      <c r="DG38" s="6"/>
      <c r="DH38" s="6"/>
      <c r="DI38" s="6"/>
      <c r="DJ38" s="6"/>
      <c r="DK38" s="6"/>
      <c r="DL38" s="6"/>
      <c r="DM38" s="6"/>
      <c r="DN38" s="6"/>
      <c r="DO38" s="6"/>
      <c r="DP38" s="6"/>
      <c r="DQ38" s="6"/>
      <c r="DR38" s="6"/>
      <c r="DS38" s="6"/>
      <c r="DT38" s="6"/>
      <c r="DU38" s="6"/>
      <c r="DV38" s="6"/>
      <c r="DW38" s="6"/>
      <c r="DX38" s="6"/>
      <c r="DY38" s="6"/>
      <c r="DZ38" s="6"/>
      <c r="EA38" s="6"/>
      <c r="EB38" s="6"/>
      <c r="EC38" s="6"/>
      <c r="ED38" s="6"/>
      <c r="EE38" s="6"/>
      <c r="EF38" s="6"/>
      <c r="EG38" s="6"/>
      <c r="EH38" s="6"/>
      <c r="EI38" s="6"/>
      <c r="EJ38" s="6"/>
      <c r="EK38" s="6"/>
      <c r="EL38" s="6"/>
      <c r="EM38" s="6"/>
      <c r="EN38" s="6"/>
      <c r="EO38" s="6"/>
      <c r="EP38" s="6"/>
      <c r="EQ38" s="6"/>
      <c r="ER38" s="6"/>
      <c r="ES38" s="6"/>
      <c r="ET38" s="6"/>
      <c r="EU38" s="6"/>
      <c r="EV38" s="6"/>
      <c r="EW38" s="6"/>
      <c r="EX38" s="6"/>
      <c r="EY38" s="6"/>
      <c r="EZ38" s="6"/>
      <c r="FA38" s="6"/>
      <c r="FB38" s="6"/>
      <c r="FC38" s="6"/>
      <c r="FD38" s="6"/>
      <c r="FE38" s="6"/>
      <c r="FF38" s="6"/>
      <c r="FG38" s="6"/>
      <c r="FH38" s="6"/>
      <c r="FI38" s="6"/>
      <c r="FJ38" s="6"/>
      <c r="FK38" s="6"/>
      <c r="FL38" s="6"/>
      <c r="FM38" s="6"/>
    </row>
    <row r="39" spans="1:169" x14ac:dyDescent="0.3">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c r="AI39" s="6"/>
      <c r="AJ39" s="6"/>
      <c r="AK39" s="6"/>
      <c r="AL39" s="6"/>
      <c r="AM39" s="6"/>
      <c r="AN39" s="6"/>
      <c r="AO39" s="6"/>
      <c r="AP39" s="6"/>
      <c r="AQ39" s="6"/>
      <c r="AR39" s="6"/>
      <c r="AS39" s="6"/>
      <c r="AT39" s="6"/>
      <c r="AU39" s="6"/>
      <c r="AV39" s="6"/>
      <c r="AW39" s="6"/>
      <c r="AX39" s="6"/>
      <c r="AY39" s="6"/>
      <c r="AZ39" s="6"/>
      <c r="BA39" s="6"/>
      <c r="BB39" s="6"/>
      <c r="BC39" s="6"/>
      <c r="BD39" s="6"/>
      <c r="BE39" s="6"/>
      <c r="BF39" s="6"/>
      <c r="BG39" s="6"/>
      <c r="BH39" s="6"/>
      <c r="BI39" s="6"/>
      <c r="BJ39" s="6"/>
      <c r="BK39" s="6"/>
      <c r="BL39" s="6"/>
      <c r="BM39" s="6"/>
      <c r="BN39" s="6"/>
      <c r="BO39" s="6"/>
      <c r="BP39" s="6"/>
      <c r="BQ39" s="6"/>
      <c r="BR39" s="6"/>
      <c r="BS39" s="6"/>
      <c r="BT39" s="6"/>
      <c r="BU39" s="6"/>
      <c r="BV39" s="6"/>
      <c r="BW39" s="6"/>
      <c r="BX39" s="6"/>
      <c r="BY39" s="6"/>
      <c r="BZ39" s="6"/>
      <c r="CA39" s="6"/>
      <c r="CB39" s="6"/>
      <c r="CC39" s="6"/>
      <c r="CD39" s="6"/>
      <c r="CE39" s="6"/>
      <c r="CF39" s="6"/>
      <c r="CG39" s="6"/>
      <c r="CH39" s="6"/>
      <c r="CI39" s="6"/>
      <c r="CJ39" s="6"/>
      <c r="CK39" s="6"/>
      <c r="CL39" s="6"/>
      <c r="CM39" s="6"/>
      <c r="CN39" s="6"/>
      <c r="CO39" s="6"/>
      <c r="CP39" s="6"/>
      <c r="CQ39" s="6"/>
      <c r="CR39" s="6"/>
      <c r="CS39" s="6"/>
      <c r="CT39" s="6"/>
      <c r="CU39" s="6"/>
      <c r="CV39" s="6"/>
      <c r="CW39" s="6"/>
      <c r="CX39" s="6"/>
      <c r="CY39" s="6"/>
      <c r="CZ39" s="6"/>
      <c r="DA39" s="6"/>
      <c r="DB39" s="6"/>
      <c r="DC39" s="6"/>
      <c r="DD39" s="6"/>
      <c r="DE39" s="6"/>
      <c r="DF39" s="6"/>
      <c r="DG39" s="6"/>
      <c r="DH39" s="6"/>
      <c r="DI39" s="6"/>
      <c r="DJ39" s="6"/>
      <c r="DK39" s="6"/>
      <c r="DL39" s="6"/>
      <c r="DM39" s="6"/>
      <c r="DN39" s="6"/>
      <c r="DO39" s="6"/>
      <c r="DP39" s="6"/>
      <c r="DQ39" s="6"/>
      <c r="DR39" s="6"/>
      <c r="DS39" s="6"/>
      <c r="DT39" s="6"/>
      <c r="DU39" s="6"/>
      <c r="DV39" s="6"/>
      <c r="DW39" s="6"/>
      <c r="DX39" s="6"/>
      <c r="DY39" s="6"/>
      <c r="DZ39" s="6"/>
      <c r="EA39" s="6"/>
      <c r="EB39" s="6"/>
      <c r="EC39" s="6"/>
      <c r="ED39" s="6"/>
      <c r="EE39" s="6"/>
      <c r="EF39" s="6"/>
      <c r="EG39" s="6"/>
      <c r="EH39" s="6"/>
      <c r="EI39" s="6"/>
      <c r="EJ39" s="6"/>
      <c r="EK39" s="6"/>
      <c r="EL39" s="6"/>
      <c r="EM39" s="6"/>
      <c r="EN39" s="6"/>
      <c r="EO39" s="6"/>
      <c r="EP39" s="6"/>
      <c r="EQ39" s="6"/>
      <c r="ER39" s="6"/>
      <c r="ES39" s="6"/>
      <c r="ET39" s="6"/>
      <c r="EU39" s="6"/>
      <c r="EV39" s="6"/>
      <c r="EW39" s="6"/>
      <c r="EX39" s="6"/>
      <c r="EY39" s="6"/>
      <c r="EZ39" s="6"/>
      <c r="FA39" s="6"/>
      <c r="FB39" s="6"/>
      <c r="FC39" s="6"/>
      <c r="FD39" s="6"/>
      <c r="FE39" s="6"/>
      <c r="FF39" s="6"/>
      <c r="FG39" s="6"/>
      <c r="FH39" s="6"/>
      <c r="FI39" s="6"/>
      <c r="FJ39" s="6"/>
      <c r="FK39" s="6"/>
      <c r="FL39" s="6"/>
      <c r="FM39" s="6"/>
    </row>
    <row r="40" spans="1:169" x14ac:dyDescent="0.3">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c r="AI40" s="6"/>
      <c r="AJ40" s="6"/>
      <c r="AK40" s="6"/>
      <c r="AL40" s="6"/>
      <c r="AM40" s="6"/>
      <c r="AN40" s="6"/>
      <c r="AO40" s="6"/>
      <c r="AP40" s="6"/>
      <c r="AQ40" s="6"/>
      <c r="AR40" s="6"/>
      <c r="AS40" s="6"/>
      <c r="AT40" s="6"/>
      <c r="AU40" s="6"/>
      <c r="AV40" s="6"/>
      <c r="AW40" s="6"/>
      <c r="AX40" s="6"/>
      <c r="AY40" s="6"/>
      <c r="AZ40" s="6"/>
      <c r="BA40" s="6"/>
      <c r="BB40" s="6"/>
      <c r="BC40" s="6"/>
      <c r="BD40" s="6"/>
      <c r="BE40" s="6"/>
      <c r="BF40" s="6"/>
      <c r="BG40" s="6"/>
      <c r="BH40" s="6"/>
      <c r="BI40" s="6"/>
      <c r="BJ40" s="6"/>
      <c r="BK40" s="6"/>
      <c r="BL40" s="6"/>
      <c r="BM40" s="6"/>
      <c r="BN40" s="6"/>
      <c r="BO40" s="6"/>
      <c r="BP40" s="6"/>
      <c r="BQ40" s="6"/>
      <c r="BR40" s="6"/>
      <c r="BS40" s="6"/>
      <c r="BT40" s="6"/>
      <c r="BU40" s="6"/>
      <c r="BV40" s="6"/>
      <c r="BW40" s="6"/>
      <c r="BX40" s="6"/>
      <c r="BY40" s="6"/>
      <c r="BZ40" s="6"/>
      <c r="CA40" s="6"/>
      <c r="CB40" s="6"/>
      <c r="CC40" s="6"/>
      <c r="CD40" s="6"/>
      <c r="CE40" s="6"/>
      <c r="CF40" s="6"/>
      <c r="CG40" s="6"/>
      <c r="CH40" s="6"/>
      <c r="CI40" s="6"/>
      <c r="CJ40" s="6"/>
      <c r="CK40" s="6"/>
      <c r="CL40" s="6"/>
      <c r="CM40" s="6"/>
      <c r="CN40" s="6"/>
      <c r="CO40" s="6"/>
      <c r="CP40" s="6"/>
      <c r="CQ40" s="6"/>
      <c r="CR40" s="6"/>
      <c r="CS40" s="6"/>
      <c r="CT40" s="6"/>
      <c r="CU40" s="6"/>
      <c r="CV40" s="6"/>
      <c r="CW40" s="6"/>
      <c r="CX40" s="6"/>
      <c r="CY40" s="6"/>
      <c r="CZ40" s="6"/>
      <c r="DA40" s="6"/>
      <c r="DB40" s="6"/>
      <c r="DC40" s="6"/>
      <c r="DD40" s="6"/>
      <c r="DE40" s="6"/>
      <c r="DF40" s="6"/>
      <c r="DG40" s="6"/>
      <c r="DH40" s="6"/>
      <c r="DI40" s="6"/>
      <c r="DJ40" s="6"/>
      <c r="DK40" s="6"/>
      <c r="DL40" s="6"/>
      <c r="DM40" s="6"/>
      <c r="DN40" s="6"/>
      <c r="DO40" s="6"/>
      <c r="DP40" s="6"/>
      <c r="DQ40" s="6"/>
      <c r="DR40" s="6"/>
      <c r="DS40" s="6"/>
      <c r="DT40" s="6"/>
      <c r="DU40" s="6"/>
      <c r="DV40" s="6"/>
      <c r="DW40" s="6"/>
      <c r="DX40" s="6"/>
      <c r="DY40" s="6"/>
      <c r="DZ40" s="6"/>
      <c r="EA40" s="6"/>
      <c r="EB40" s="6"/>
      <c r="EC40" s="6"/>
      <c r="ED40" s="6"/>
      <c r="EE40" s="6"/>
      <c r="EF40" s="6"/>
      <c r="EG40" s="6"/>
      <c r="EH40" s="6"/>
      <c r="EI40" s="6"/>
      <c r="EJ40" s="6"/>
      <c r="EK40" s="6"/>
      <c r="EL40" s="6"/>
      <c r="EM40" s="6"/>
      <c r="EN40" s="6"/>
      <c r="EO40" s="6"/>
      <c r="EP40" s="6"/>
      <c r="EQ40" s="6"/>
      <c r="ER40" s="6"/>
      <c r="ES40" s="6"/>
      <c r="ET40" s="6"/>
      <c r="EU40" s="6"/>
      <c r="EV40" s="6"/>
      <c r="EW40" s="6"/>
      <c r="EX40" s="6"/>
      <c r="EY40" s="6"/>
      <c r="EZ40" s="6"/>
      <c r="FA40" s="6"/>
      <c r="FB40" s="6"/>
      <c r="FC40" s="6"/>
      <c r="FD40" s="6"/>
      <c r="FE40" s="6"/>
      <c r="FF40" s="6"/>
      <c r="FG40" s="6"/>
      <c r="FH40" s="6"/>
      <c r="FI40" s="6"/>
      <c r="FJ40" s="6"/>
      <c r="FK40" s="6"/>
      <c r="FL40" s="6"/>
      <c r="FM40" s="6"/>
    </row>
    <row r="41" spans="1:169" x14ac:dyDescent="0.3">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c r="AI41" s="6"/>
      <c r="AJ41" s="6"/>
      <c r="AK41" s="6"/>
      <c r="AL41" s="6"/>
      <c r="AM41" s="6"/>
      <c r="AN41" s="6"/>
      <c r="AO41" s="6"/>
      <c r="AP41" s="6"/>
      <c r="AQ41" s="6"/>
      <c r="AR41" s="6"/>
      <c r="AS41" s="6"/>
      <c r="AT41" s="6"/>
      <c r="AU41" s="6"/>
      <c r="AV41" s="6"/>
      <c r="AW41" s="6"/>
      <c r="AX41" s="6"/>
      <c r="AY41" s="6"/>
      <c r="AZ41" s="6"/>
      <c r="BA41" s="6"/>
      <c r="BB41" s="6"/>
      <c r="BC41" s="6"/>
      <c r="BD41" s="6"/>
      <c r="BE41" s="6"/>
      <c r="BF41" s="6"/>
      <c r="BG41" s="6"/>
      <c r="BH41" s="6"/>
      <c r="BI41" s="6"/>
      <c r="BJ41" s="6"/>
      <c r="BK41" s="6"/>
      <c r="BL41" s="6"/>
      <c r="BM41" s="6"/>
      <c r="BN41" s="6"/>
      <c r="BO41" s="6"/>
      <c r="BP41" s="6"/>
      <c r="BQ41" s="6"/>
      <c r="BR41" s="6"/>
      <c r="BS41" s="6"/>
      <c r="BT41" s="6"/>
      <c r="BU41" s="6"/>
      <c r="BV41" s="6"/>
      <c r="BW41" s="6"/>
      <c r="BX41" s="6"/>
      <c r="BY41" s="6"/>
      <c r="BZ41" s="6"/>
      <c r="CA41" s="6"/>
      <c r="CB41" s="6"/>
      <c r="CC41" s="6"/>
      <c r="CD41" s="6"/>
      <c r="CE41" s="6"/>
      <c r="CF41" s="6"/>
      <c r="CG41" s="6"/>
      <c r="CH41" s="6"/>
      <c r="CI41" s="6"/>
      <c r="CJ41" s="6"/>
      <c r="CK41" s="6"/>
      <c r="CL41" s="6"/>
      <c r="CM41" s="6"/>
      <c r="CN41" s="6"/>
      <c r="CO41" s="6"/>
      <c r="CP41" s="6"/>
      <c r="CQ41" s="6"/>
      <c r="CR41" s="6"/>
      <c r="CS41" s="6"/>
      <c r="CT41" s="6"/>
      <c r="CU41" s="6"/>
      <c r="CV41" s="6"/>
      <c r="CW41" s="6"/>
      <c r="CX41" s="6"/>
      <c r="CY41" s="6"/>
      <c r="CZ41" s="6"/>
      <c r="DA41" s="6"/>
      <c r="DB41" s="6"/>
      <c r="DC41" s="6"/>
      <c r="DD41" s="6"/>
      <c r="DE41" s="6"/>
      <c r="DF41" s="6"/>
      <c r="DG41" s="6"/>
      <c r="DH41" s="6"/>
      <c r="DI41" s="6"/>
      <c r="DJ41" s="6"/>
      <c r="DK41" s="6"/>
      <c r="DL41" s="6"/>
      <c r="DM41" s="6"/>
      <c r="DN41" s="6"/>
      <c r="DO41" s="6"/>
      <c r="DP41" s="6"/>
      <c r="DQ41" s="6"/>
      <c r="DR41" s="6"/>
      <c r="DS41" s="6"/>
      <c r="DT41" s="6"/>
      <c r="DU41" s="6"/>
      <c r="DV41" s="6"/>
      <c r="DW41" s="6"/>
      <c r="DX41" s="6"/>
      <c r="DY41" s="6"/>
      <c r="DZ41" s="6"/>
      <c r="EA41" s="6"/>
      <c r="EB41" s="6"/>
      <c r="EC41" s="6"/>
      <c r="ED41" s="6"/>
      <c r="EE41" s="6"/>
      <c r="EF41" s="6"/>
      <c r="EG41" s="6"/>
      <c r="EH41" s="6"/>
      <c r="EI41" s="6"/>
      <c r="EJ41" s="6"/>
      <c r="EK41" s="6"/>
      <c r="EL41" s="6"/>
      <c r="EM41" s="6"/>
      <c r="EN41" s="6"/>
      <c r="EO41" s="6"/>
      <c r="EP41" s="6"/>
      <c r="EQ41" s="6"/>
      <c r="ER41" s="6"/>
      <c r="ES41" s="6"/>
      <c r="ET41" s="6"/>
      <c r="EU41" s="6"/>
      <c r="EV41" s="6"/>
      <c r="EW41" s="6"/>
      <c r="EX41" s="6"/>
      <c r="EY41" s="6"/>
      <c r="EZ41" s="6"/>
      <c r="FA41" s="6"/>
      <c r="FB41" s="6"/>
      <c r="FC41" s="6"/>
      <c r="FD41" s="6"/>
      <c r="FE41" s="6"/>
      <c r="FF41" s="6"/>
      <c r="FG41" s="6"/>
      <c r="FH41" s="6"/>
      <c r="FI41" s="6"/>
      <c r="FJ41" s="6"/>
      <c r="FK41" s="6"/>
      <c r="FL41" s="6"/>
      <c r="FM41" s="6"/>
    </row>
    <row r="42" spans="1:169" x14ac:dyDescent="0.3">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c r="AI42" s="6"/>
      <c r="AJ42" s="6"/>
      <c r="AK42" s="6"/>
      <c r="AL42" s="6"/>
      <c r="AM42" s="6"/>
      <c r="AN42" s="6"/>
      <c r="AO42" s="6"/>
      <c r="AP42" s="6"/>
      <c r="AQ42" s="6"/>
      <c r="AR42" s="6"/>
      <c r="AS42" s="6"/>
      <c r="AT42" s="6"/>
      <c r="AU42" s="6"/>
      <c r="AV42" s="6"/>
      <c r="AW42" s="6"/>
      <c r="AX42" s="6"/>
      <c r="AY42" s="6"/>
      <c r="AZ42" s="6"/>
      <c r="BA42" s="6"/>
      <c r="BB42" s="6"/>
      <c r="BC42" s="6"/>
      <c r="BD42" s="6"/>
      <c r="BE42" s="6"/>
      <c r="BF42" s="6"/>
      <c r="BG42" s="6"/>
      <c r="BH42" s="6"/>
      <c r="BI42" s="6"/>
      <c r="BJ42" s="6"/>
      <c r="BK42" s="6"/>
      <c r="BL42" s="6"/>
      <c r="BM42" s="6"/>
      <c r="BN42" s="6"/>
      <c r="BO42" s="6"/>
      <c r="BP42" s="6"/>
      <c r="BQ42" s="6"/>
      <c r="BR42" s="6"/>
      <c r="BS42" s="6"/>
      <c r="BT42" s="6"/>
      <c r="BU42" s="6"/>
      <c r="BV42" s="6"/>
      <c r="BW42" s="6"/>
      <c r="BX42" s="6"/>
      <c r="BY42" s="6"/>
      <c r="BZ42" s="6"/>
      <c r="CA42" s="6"/>
      <c r="CB42" s="6"/>
      <c r="CC42" s="6"/>
      <c r="CD42" s="6"/>
      <c r="CE42" s="6"/>
      <c r="CF42" s="6"/>
      <c r="CG42" s="6"/>
      <c r="CH42" s="6"/>
      <c r="CI42" s="6"/>
      <c r="CJ42" s="6"/>
      <c r="CK42" s="6"/>
      <c r="CL42" s="6"/>
      <c r="CM42" s="6"/>
      <c r="CN42" s="6"/>
      <c r="CO42" s="6"/>
      <c r="CP42" s="6"/>
      <c r="CQ42" s="6"/>
      <c r="CR42" s="6"/>
      <c r="CS42" s="6"/>
      <c r="CT42" s="6"/>
      <c r="CU42" s="6"/>
      <c r="CV42" s="6"/>
      <c r="CW42" s="6"/>
      <c r="CX42" s="6"/>
      <c r="CY42" s="6"/>
      <c r="CZ42" s="6"/>
      <c r="DA42" s="6"/>
      <c r="DB42" s="6"/>
      <c r="DC42" s="6"/>
      <c r="DD42" s="6"/>
      <c r="DE42" s="6"/>
      <c r="DF42" s="6"/>
      <c r="DG42" s="6"/>
      <c r="DH42" s="6"/>
      <c r="DI42" s="6"/>
      <c r="DJ42" s="6"/>
      <c r="DK42" s="6"/>
      <c r="DL42" s="6"/>
      <c r="DM42" s="6"/>
      <c r="DN42" s="6"/>
      <c r="DO42" s="6"/>
      <c r="DP42" s="6"/>
      <c r="DQ42" s="6"/>
      <c r="DR42" s="6"/>
      <c r="DS42" s="6"/>
      <c r="DT42" s="6"/>
      <c r="DU42" s="6"/>
      <c r="DV42" s="6"/>
      <c r="DW42" s="6"/>
      <c r="DX42" s="6"/>
      <c r="DY42" s="6"/>
      <c r="DZ42" s="6"/>
      <c r="EA42" s="6"/>
      <c r="EB42" s="6"/>
      <c r="EC42" s="6"/>
      <c r="ED42" s="6"/>
      <c r="EE42" s="6"/>
      <c r="EF42" s="6"/>
      <c r="EG42" s="6"/>
      <c r="EH42" s="6"/>
      <c r="EI42" s="6"/>
      <c r="EJ42" s="6"/>
      <c r="EK42" s="6"/>
      <c r="EL42" s="6"/>
      <c r="EM42" s="6"/>
      <c r="EN42" s="6"/>
      <c r="EO42" s="6"/>
      <c r="EP42" s="6"/>
      <c r="EQ42" s="6"/>
      <c r="ER42" s="6"/>
      <c r="ES42" s="6"/>
      <c r="ET42" s="6"/>
      <c r="EU42" s="6"/>
      <c r="EV42" s="6"/>
      <c r="EW42" s="6"/>
      <c r="EX42" s="6"/>
      <c r="EY42" s="6"/>
      <c r="EZ42" s="6"/>
      <c r="FA42" s="6"/>
      <c r="FB42" s="6"/>
      <c r="FC42" s="6"/>
      <c r="FD42" s="6"/>
      <c r="FE42" s="6"/>
      <c r="FF42" s="6"/>
      <c r="FG42" s="6"/>
      <c r="FH42" s="6"/>
      <c r="FI42" s="6"/>
      <c r="FJ42" s="6"/>
      <c r="FK42" s="6"/>
      <c r="FL42" s="6"/>
      <c r="FM42" s="6"/>
    </row>
    <row r="43" spans="1:169" x14ac:dyDescent="0.3">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c r="AI43" s="6"/>
      <c r="AJ43" s="6"/>
      <c r="AK43" s="6"/>
      <c r="AL43" s="6"/>
      <c r="AM43" s="6"/>
      <c r="AN43" s="6"/>
      <c r="AO43" s="6"/>
      <c r="AP43" s="6"/>
      <c r="AQ43" s="6"/>
      <c r="AR43" s="6"/>
      <c r="AS43" s="6"/>
      <c r="AT43" s="6"/>
      <c r="AU43" s="6"/>
      <c r="AV43" s="6"/>
      <c r="AW43" s="6"/>
      <c r="AX43" s="6"/>
      <c r="AY43" s="6"/>
      <c r="AZ43" s="6"/>
      <c r="BA43" s="6"/>
      <c r="BB43" s="6"/>
      <c r="BC43" s="6"/>
      <c r="BD43" s="6"/>
      <c r="BE43" s="6"/>
      <c r="BF43" s="6"/>
      <c r="BG43" s="6"/>
      <c r="BH43" s="6"/>
      <c r="BI43" s="6"/>
      <c r="BJ43" s="6"/>
      <c r="BK43" s="6"/>
      <c r="BL43" s="6"/>
      <c r="BM43" s="6"/>
      <c r="BN43" s="6"/>
      <c r="BO43" s="6"/>
      <c r="BP43" s="6"/>
      <c r="BQ43" s="6"/>
      <c r="BR43" s="6"/>
      <c r="BS43" s="6"/>
      <c r="BT43" s="6"/>
      <c r="BU43" s="6"/>
      <c r="BV43" s="6"/>
      <c r="BW43" s="6"/>
      <c r="BX43" s="6"/>
      <c r="BY43" s="6"/>
      <c r="BZ43" s="6"/>
      <c r="CA43" s="6"/>
      <c r="CB43" s="6"/>
      <c r="CC43" s="6"/>
      <c r="CD43" s="6"/>
      <c r="CE43" s="6"/>
      <c r="CF43" s="6"/>
      <c r="CG43" s="6"/>
      <c r="CH43" s="6"/>
      <c r="CI43" s="6"/>
      <c r="CJ43" s="6"/>
      <c r="CK43" s="6"/>
      <c r="CL43" s="6"/>
      <c r="CM43" s="6"/>
      <c r="CN43" s="6"/>
      <c r="CO43" s="6"/>
      <c r="CP43" s="6"/>
      <c r="CQ43" s="6"/>
      <c r="CR43" s="6"/>
      <c r="CS43" s="6"/>
      <c r="CT43" s="6"/>
      <c r="CU43" s="6"/>
      <c r="CV43" s="6"/>
      <c r="CW43" s="6"/>
      <c r="CX43" s="6"/>
      <c r="CY43" s="6"/>
      <c r="CZ43" s="6"/>
      <c r="DA43" s="6"/>
      <c r="DB43" s="6"/>
      <c r="DC43" s="6"/>
      <c r="DD43" s="6"/>
      <c r="DE43" s="6"/>
      <c r="DF43" s="6"/>
      <c r="DG43" s="6"/>
      <c r="DH43" s="6"/>
      <c r="DI43" s="6"/>
      <c r="DJ43" s="6"/>
      <c r="DK43" s="6"/>
      <c r="DL43" s="6"/>
      <c r="DM43" s="6"/>
      <c r="DN43" s="6"/>
      <c r="DO43" s="6"/>
      <c r="DP43" s="6"/>
      <c r="DQ43" s="6"/>
      <c r="DR43" s="6"/>
      <c r="DS43" s="6"/>
      <c r="DT43" s="6"/>
      <c r="DU43" s="6"/>
      <c r="DV43" s="6"/>
      <c r="DW43" s="6"/>
      <c r="DX43" s="6"/>
      <c r="DY43" s="6"/>
      <c r="DZ43" s="6"/>
      <c r="EA43" s="6"/>
      <c r="EB43" s="6"/>
      <c r="EC43" s="6"/>
      <c r="ED43" s="6"/>
      <c r="EE43" s="6"/>
      <c r="EF43" s="6"/>
      <c r="EG43" s="6"/>
      <c r="EH43" s="6"/>
      <c r="EI43" s="6"/>
      <c r="EJ43" s="6"/>
      <c r="EK43" s="6"/>
      <c r="EL43" s="6"/>
      <c r="EM43" s="6"/>
      <c r="EN43" s="6"/>
      <c r="EO43" s="6"/>
      <c r="EP43" s="6"/>
      <c r="EQ43" s="6"/>
      <c r="ER43" s="6"/>
      <c r="ES43" s="6"/>
      <c r="ET43" s="6"/>
      <c r="EU43" s="6"/>
      <c r="EV43" s="6"/>
      <c r="EW43" s="6"/>
      <c r="EX43" s="6"/>
      <c r="EY43" s="6"/>
      <c r="EZ43" s="6"/>
      <c r="FA43" s="6"/>
      <c r="FB43" s="6"/>
      <c r="FC43" s="6"/>
      <c r="FD43" s="6"/>
      <c r="FE43" s="6"/>
      <c r="FF43" s="6"/>
      <c r="FG43" s="6"/>
      <c r="FH43" s="6"/>
      <c r="FI43" s="6"/>
      <c r="FJ43" s="6"/>
      <c r="FK43" s="6"/>
      <c r="FL43" s="6"/>
      <c r="FM43" s="6"/>
    </row>
    <row r="44" spans="1:169" x14ac:dyDescent="0.3">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c r="AI44" s="6"/>
      <c r="AJ44" s="6"/>
      <c r="AK44" s="6"/>
      <c r="AL44" s="6"/>
      <c r="AM44" s="6"/>
      <c r="AN44" s="6"/>
      <c r="AO44" s="6"/>
      <c r="AP44" s="6"/>
      <c r="AQ44" s="6"/>
      <c r="AR44" s="6"/>
      <c r="AS44" s="6"/>
      <c r="AT44" s="6"/>
      <c r="AU44" s="6"/>
      <c r="AV44" s="6"/>
      <c r="AW44" s="6"/>
      <c r="AX44" s="6"/>
      <c r="AY44" s="6"/>
      <c r="AZ44" s="6"/>
      <c r="BA44" s="6"/>
      <c r="BB44" s="6"/>
      <c r="BC44" s="6"/>
      <c r="BD44" s="6"/>
      <c r="BE44" s="6"/>
      <c r="BF44" s="6"/>
      <c r="BG44" s="6"/>
      <c r="BH44" s="6"/>
      <c r="BI44" s="6"/>
      <c r="BJ44" s="6"/>
      <c r="BK44" s="6"/>
      <c r="BL44" s="6"/>
      <c r="BM44" s="6"/>
      <c r="BN44" s="6"/>
      <c r="BO44" s="6"/>
      <c r="BP44" s="6"/>
      <c r="BQ44" s="6"/>
      <c r="BR44" s="6"/>
      <c r="BS44" s="6"/>
      <c r="BT44" s="6"/>
      <c r="BU44" s="6"/>
      <c r="BV44" s="6"/>
      <c r="BW44" s="6"/>
      <c r="BX44" s="6"/>
      <c r="BY44" s="6"/>
      <c r="BZ44" s="6"/>
      <c r="CA44" s="6"/>
      <c r="CB44" s="6"/>
      <c r="CC44" s="6"/>
      <c r="CD44" s="6"/>
      <c r="CE44" s="6"/>
      <c r="CF44" s="6"/>
      <c r="CG44" s="6"/>
      <c r="CH44" s="6"/>
      <c r="CI44" s="6"/>
      <c r="CJ44" s="6"/>
      <c r="CK44" s="6"/>
      <c r="CL44" s="6"/>
      <c r="CM44" s="6"/>
      <c r="CN44" s="6"/>
      <c r="CO44" s="6"/>
      <c r="CP44" s="6"/>
      <c r="CQ44" s="6"/>
      <c r="CR44" s="6"/>
      <c r="CS44" s="6"/>
      <c r="CT44" s="6"/>
      <c r="CU44" s="6"/>
      <c r="CV44" s="6"/>
      <c r="CW44" s="6"/>
      <c r="CX44" s="6"/>
      <c r="CY44" s="6"/>
      <c r="CZ44" s="6"/>
      <c r="DA44" s="6"/>
      <c r="DB44" s="6"/>
      <c r="DC44" s="6"/>
      <c r="DD44" s="6"/>
      <c r="DE44" s="6"/>
      <c r="DF44" s="6"/>
      <c r="DG44" s="6"/>
      <c r="DH44" s="6"/>
      <c r="DI44" s="6"/>
      <c r="DJ44" s="6"/>
      <c r="DK44" s="6"/>
      <c r="DL44" s="6"/>
      <c r="DM44" s="6"/>
      <c r="DN44" s="6"/>
      <c r="DO44" s="6"/>
      <c r="DP44" s="6"/>
      <c r="DQ44" s="6"/>
      <c r="DR44" s="6"/>
      <c r="DS44" s="6"/>
      <c r="DT44" s="6"/>
      <c r="DU44" s="6"/>
      <c r="DV44" s="6"/>
      <c r="DW44" s="6"/>
      <c r="DX44" s="6"/>
      <c r="DY44" s="6"/>
      <c r="DZ44" s="6"/>
      <c r="EA44" s="6"/>
      <c r="EB44" s="6"/>
      <c r="EC44" s="6"/>
      <c r="ED44" s="6"/>
      <c r="EE44" s="6"/>
      <c r="EF44" s="6"/>
      <c r="EG44" s="6"/>
      <c r="EH44" s="6"/>
      <c r="EI44" s="6"/>
      <c r="EJ44" s="6"/>
      <c r="EK44" s="6"/>
      <c r="EL44" s="6"/>
      <c r="EM44" s="6"/>
      <c r="EN44" s="6"/>
      <c r="EO44" s="6"/>
      <c r="EP44" s="6"/>
      <c r="EQ44" s="6"/>
      <c r="ER44" s="6"/>
      <c r="ES44" s="6"/>
      <c r="ET44" s="6"/>
      <c r="EU44" s="6"/>
      <c r="EV44" s="6"/>
      <c r="EW44" s="6"/>
      <c r="EX44" s="6"/>
      <c r="EY44" s="6"/>
      <c r="EZ44" s="6"/>
      <c r="FA44" s="6"/>
      <c r="FB44" s="6"/>
      <c r="FC44" s="6"/>
      <c r="FD44" s="6"/>
      <c r="FE44" s="6"/>
      <c r="FF44" s="6"/>
      <c r="FG44" s="6"/>
      <c r="FH44" s="6"/>
      <c r="FI44" s="6"/>
      <c r="FJ44" s="6"/>
      <c r="FK44" s="6"/>
      <c r="FL44" s="6"/>
      <c r="FM44" s="6"/>
    </row>
    <row r="45" spans="1:169" x14ac:dyDescent="0.3">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c r="AI45" s="6"/>
      <c r="AJ45" s="6"/>
      <c r="AK45" s="6"/>
      <c r="AL45" s="6"/>
      <c r="AM45" s="6"/>
      <c r="AN45" s="6"/>
      <c r="AO45" s="6"/>
      <c r="AP45" s="6"/>
      <c r="AQ45" s="6"/>
      <c r="AR45" s="6"/>
      <c r="AS45" s="6"/>
      <c r="AT45" s="6"/>
      <c r="AU45" s="6"/>
      <c r="AV45" s="6"/>
      <c r="AW45" s="6"/>
      <c r="AX45" s="6"/>
      <c r="AY45" s="6"/>
      <c r="AZ45" s="6"/>
      <c r="BA45" s="6"/>
      <c r="BB45" s="6"/>
      <c r="BC45" s="6"/>
      <c r="BD45" s="6"/>
      <c r="BE45" s="6"/>
      <c r="BF45" s="6"/>
      <c r="BG45" s="6"/>
      <c r="BH45" s="6"/>
      <c r="BI45" s="6"/>
      <c r="BJ45" s="6"/>
      <c r="BK45" s="6"/>
      <c r="BL45" s="6"/>
      <c r="BM45" s="6"/>
      <c r="BN45" s="6"/>
      <c r="BO45" s="6"/>
      <c r="BP45" s="6"/>
      <c r="BQ45" s="6"/>
      <c r="BR45" s="6"/>
      <c r="BS45" s="6"/>
      <c r="BT45" s="6"/>
      <c r="BU45" s="6"/>
      <c r="BV45" s="6"/>
      <c r="BW45" s="6"/>
      <c r="BX45" s="6"/>
      <c r="BY45" s="6"/>
      <c r="BZ45" s="6"/>
      <c r="CA45" s="6"/>
      <c r="CB45" s="6"/>
      <c r="CC45" s="6"/>
      <c r="CD45" s="6"/>
      <c r="CE45" s="6"/>
      <c r="CF45" s="6"/>
      <c r="CG45" s="6"/>
      <c r="CH45" s="6"/>
      <c r="CI45" s="6"/>
      <c r="CJ45" s="6"/>
      <c r="CK45" s="6"/>
      <c r="CL45" s="6"/>
      <c r="CM45" s="6"/>
      <c r="CN45" s="6"/>
      <c r="CO45" s="6"/>
      <c r="CP45" s="6"/>
      <c r="CQ45" s="6"/>
      <c r="CR45" s="6"/>
      <c r="CS45" s="6"/>
      <c r="CT45" s="6"/>
      <c r="CU45" s="6"/>
      <c r="CV45" s="6"/>
      <c r="CW45" s="6"/>
      <c r="CX45" s="6"/>
      <c r="CY45" s="6"/>
      <c r="CZ45" s="6"/>
      <c r="DA45" s="6"/>
      <c r="DB45" s="6"/>
      <c r="DC45" s="6"/>
      <c r="DD45" s="6"/>
      <c r="DE45" s="6"/>
      <c r="DF45" s="6"/>
      <c r="DG45" s="6"/>
      <c r="DH45" s="6"/>
      <c r="DI45" s="6"/>
      <c r="DJ45" s="6"/>
      <c r="DK45" s="6"/>
      <c r="DL45" s="6"/>
      <c r="DM45" s="6"/>
      <c r="DN45" s="6"/>
      <c r="DO45" s="6"/>
      <c r="DP45" s="6"/>
      <c r="DQ45" s="6"/>
      <c r="DR45" s="6"/>
      <c r="DS45" s="6"/>
      <c r="DT45" s="6"/>
      <c r="DU45" s="6"/>
      <c r="DV45" s="6"/>
      <c r="DW45" s="6"/>
      <c r="DX45" s="6"/>
      <c r="DY45" s="6"/>
      <c r="DZ45" s="6"/>
      <c r="EA45" s="6"/>
      <c r="EB45" s="6"/>
      <c r="EC45" s="6"/>
      <c r="ED45" s="6"/>
      <c r="EE45" s="6"/>
      <c r="EF45" s="6"/>
      <c r="EG45" s="6"/>
      <c r="EH45" s="6"/>
      <c r="EI45" s="6"/>
      <c r="EJ45" s="6"/>
      <c r="EK45" s="6"/>
      <c r="EL45" s="6"/>
      <c r="EM45" s="6"/>
      <c r="EN45" s="6"/>
      <c r="EO45" s="6"/>
      <c r="EP45" s="6"/>
      <c r="EQ45" s="6"/>
      <c r="ER45" s="6"/>
      <c r="ES45" s="6"/>
      <c r="ET45" s="6"/>
      <c r="EU45" s="6"/>
      <c r="EV45" s="6"/>
      <c r="EW45" s="6"/>
      <c r="EX45" s="6"/>
      <c r="EY45" s="6"/>
      <c r="EZ45" s="6"/>
      <c r="FA45" s="6"/>
      <c r="FB45" s="6"/>
      <c r="FC45" s="6"/>
      <c r="FD45" s="6"/>
      <c r="FE45" s="6"/>
      <c r="FF45" s="6"/>
      <c r="FG45" s="6"/>
      <c r="FH45" s="6"/>
      <c r="FI45" s="6"/>
      <c r="FJ45" s="6"/>
      <c r="FK45" s="6"/>
      <c r="FL45" s="6"/>
      <c r="FM45" s="6"/>
    </row>
    <row r="46" spans="1:169" x14ac:dyDescent="0.3">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c r="AI46" s="6"/>
      <c r="AJ46" s="6"/>
      <c r="AK46" s="6"/>
      <c r="AL46" s="6"/>
      <c r="AM46" s="6"/>
      <c r="AN46" s="6"/>
      <c r="AO46" s="6"/>
      <c r="AP46" s="6"/>
      <c r="AQ46" s="6"/>
      <c r="AR46" s="6"/>
      <c r="AS46" s="6"/>
      <c r="AT46" s="6"/>
      <c r="AU46" s="6"/>
      <c r="AV46" s="6"/>
      <c r="AW46" s="6"/>
      <c r="AX46" s="6"/>
      <c r="AY46" s="6"/>
      <c r="AZ46" s="6"/>
      <c r="BA46" s="6"/>
      <c r="BB46" s="6"/>
      <c r="BC46" s="6"/>
      <c r="BD46" s="6"/>
      <c r="BE46" s="6"/>
      <c r="BF46" s="6"/>
      <c r="BG46" s="6"/>
      <c r="BH46" s="6"/>
      <c r="BI46" s="6"/>
      <c r="BJ46" s="6"/>
      <c r="BK46" s="6"/>
      <c r="BL46" s="6"/>
      <c r="BM46" s="6"/>
      <c r="BN46" s="6"/>
      <c r="BO46" s="6"/>
      <c r="BP46" s="6"/>
      <c r="BQ46" s="6"/>
      <c r="BR46" s="6"/>
      <c r="BS46" s="6"/>
      <c r="BT46" s="6"/>
      <c r="BU46" s="6"/>
      <c r="BV46" s="6"/>
      <c r="BW46" s="6"/>
      <c r="BX46" s="6"/>
      <c r="BY46" s="6"/>
      <c r="BZ46" s="6"/>
      <c r="CA46" s="6"/>
      <c r="CB46" s="6"/>
      <c r="CC46" s="6"/>
      <c r="CD46" s="6"/>
      <c r="CE46" s="6"/>
      <c r="CF46" s="6"/>
      <c r="CG46" s="6"/>
      <c r="CH46" s="6"/>
      <c r="CI46" s="6"/>
      <c r="CJ46" s="6"/>
      <c r="CK46" s="6"/>
      <c r="CL46" s="6"/>
      <c r="CM46" s="6"/>
      <c r="CN46" s="6"/>
      <c r="CO46" s="6"/>
      <c r="CP46" s="6"/>
      <c r="CQ46" s="6"/>
      <c r="CR46" s="6"/>
      <c r="CS46" s="6"/>
      <c r="CT46" s="6"/>
      <c r="CU46" s="6"/>
      <c r="CV46" s="6"/>
      <c r="CW46" s="6"/>
      <c r="CX46" s="6"/>
      <c r="CY46" s="6"/>
      <c r="CZ46" s="6"/>
      <c r="DA46" s="6"/>
      <c r="DB46" s="6"/>
      <c r="DC46" s="6"/>
      <c r="DD46" s="6"/>
      <c r="DE46" s="6"/>
      <c r="DF46" s="6"/>
      <c r="DG46" s="6"/>
      <c r="DH46" s="6"/>
      <c r="DI46" s="6"/>
      <c r="DJ46" s="6"/>
      <c r="DK46" s="6"/>
      <c r="DL46" s="6"/>
      <c r="DM46" s="6"/>
      <c r="DN46" s="6"/>
      <c r="DO46" s="6"/>
      <c r="DP46" s="6"/>
      <c r="DQ46" s="6"/>
      <c r="DR46" s="6"/>
      <c r="DS46" s="6"/>
      <c r="DT46" s="6"/>
      <c r="DU46" s="6"/>
      <c r="DV46" s="6"/>
      <c r="DW46" s="6"/>
      <c r="DX46" s="6"/>
      <c r="DY46" s="6"/>
      <c r="DZ46" s="6"/>
      <c r="EA46" s="6"/>
      <c r="EB46" s="6"/>
      <c r="EC46" s="6"/>
      <c r="ED46" s="6"/>
      <c r="EE46" s="6"/>
      <c r="EF46" s="6"/>
      <c r="EG46" s="6"/>
      <c r="EH46" s="6"/>
      <c r="EI46" s="6"/>
      <c r="EJ46" s="6"/>
      <c r="EK46" s="6"/>
      <c r="EL46" s="6"/>
      <c r="EM46" s="6"/>
      <c r="EN46" s="6"/>
      <c r="EO46" s="6"/>
      <c r="EP46" s="6"/>
      <c r="EQ46" s="6"/>
      <c r="ER46" s="6"/>
      <c r="ES46" s="6"/>
      <c r="ET46" s="6"/>
      <c r="EU46" s="6"/>
      <c r="EV46" s="6"/>
      <c r="EW46" s="6"/>
      <c r="EX46" s="6"/>
      <c r="EY46" s="6"/>
      <c r="EZ46" s="6"/>
      <c r="FA46" s="6"/>
      <c r="FB46" s="6"/>
      <c r="FC46" s="6"/>
      <c r="FD46" s="6"/>
      <c r="FE46" s="6"/>
      <c r="FF46" s="6"/>
      <c r="FG46" s="6"/>
      <c r="FH46" s="6"/>
      <c r="FI46" s="6"/>
      <c r="FJ46" s="6"/>
      <c r="FK46" s="6"/>
      <c r="FL46" s="6"/>
      <c r="FM46" s="6"/>
    </row>
    <row r="47" spans="1:169" x14ac:dyDescent="0.3">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c r="AI47" s="6"/>
      <c r="AJ47" s="6"/>
      <c r="AK47" s="6"/>
      <c r="AL47" s="6"/>
      <c r="AM47" s="6"/>
      <c r="AN47" s="6"/>
      <c r="AO47" s="6"/>
      <c r="AP47" s="6"/>
      <c r="AQ47" s="6"/>
      <c r="AR47" s="6"/>
      <c r="AS47" s="6"/>
      <c r="AT47" s="6"/>
      <c r="AU47" s="6"/>
      <c r="AV47" s="6"/>
      <c r="AW47" s="6"/>
      <c r="AX47" s="6"/>
      <c r="AY47" s="6"/>
      <c r="AZ47" s="6"/>
      <c r="BA47" s="6"/>
      <c r="BB47" s="6"/>
      <c r="BC47" s="6"/>
      <c r="BD47" s="6"/>
      <c r="BE47" s="6"/>
      <c r="BF47" s="6"/>
      <c r="BG47" s="6"/>
      <c r="BH47" s="6"/>
      <c r="BI47" s="6"/>
      <c r="BJ47" s="6"/>
      <c r="BK47" s="6"/>
      <c r="BL47" s="6"/>
      <c r="BM47" s="6"/>
      <c r="BN47" s="6"/>
      <c r="BO47" s="6"/>
      <c r="BP47" s="6"/>
      <c r="BQ47" s="6"/>
      <c r="BR47" s="6"/>
      <c r="BS47" s="6"/>
      <c r="BT47" s="6"/>
      <c r="BU47" s="6"/>
      <c r="BV47" s="6"/>
      <c r="BW47" s="6"/>
      <c r="BX47" s="6"/>
      <c r="BY47" s="6"/>
      <c r="BZ47" s="6"/>
      <c r="CA47" s="6"/>
      <c r="CB47" s="6"/>
      <c r="CC47" s="6"/>
      <c r="CD47" s="6"/>
      <c r="CE47" s="6"/>
      <c r="CF47" s="6"/>
      <c r="CG47" s="6"/>
      <c r="CH47" s="6"/>
      <c r="CI47" s="6"/>
      <c r="CJ47" s="6"/>
      <c r="CK47" s="6"/>
      <c r="CL47" s="6"/>
      <c r="CM47" s="6"/>
      <c r="CN47" s="6"/>
      <c r="CO47" s="6"/>
      <c r="CP47" s="6"/>
      <c r="CQ47" s="6"/>
      <c r="CR47" s="6"/>
      <c r="CS47" s="6"/>
      <c r="CT47" s="6"/>
      <c r="CU47" s="6"/>
      <c r="CV47" s="6"/>
      <c r="CW47" s="6"/>
      <c r="CX47" s="6"/>
      <c r="CY47" s="6"/>
      <c r="CZ47" s="6"/>
      <c r="DA47" s="6"/>
      <c r="DB47" s="6"/>
      <c r="DC47" s="6"/>
      <c r="DD47" s="6"/>
      <c r="DE47" s="6"/>
      <c r="DF47" s="6"/>
      <c r="DG47" s="6"/>
      <c r="DH47" s="6"/>
      <c r="DI47" s="6"/>
      <c r="DJ47" s="6"/>
      <c r="DK47" s="6"/>
      <c r="DL47" s="6"/>
      <c r="DM47" s="6"/>
      <c r="DN47" s="6"/>
      <c r="DO47" s="6"/>
      <c r="DP47" s="6"/>
      <c r="DQ47" s="6"/>
      <c r="DR47" s="6"/>
      <c r="DS47" s="6"/>
      <c r="DT47" s="6"/>
      <c r="DU47" s="6"/>
      <c r="DV47" s="6"/>
      <c r="DW47" s="6"/>
      <c r="DX47" s="6"/>
      <c r="DY47" s="6"/>
      <c r="DZ47" s="6"/>
      <c r="EA47" s="6"/>
      <c r="EB47" s="6"/>
      <c r="EC47" s="6"/>
      <c r="ED47" s="6"/>
      <c r="EE47" s="6"/>
      <c r="EF47" s="6"/>
      <c r="EG47" s="6"/>
      <c r="EH47" s="6"/>
      <c r="EI47" s="6"/>
      <c r="EJ47" s="6"/>
      <c r="EK47" s="6"/>
      <c r="EL47" s="6"/>
      <c r="EM47" s="6"/>
      <c r="EN47" s="6"/>
      <c r="EO47" s="6"/>
      <c r="EP47" s="6"/>
      <c r="EQ47" s="6"/>
      <c r="ER47" s="6"/>
      <c r="ES47" s="6"/>
      <c r="ET47" s="6"/>
      <c r="EU47" s="6"/>
      <c r="EV47" s="6"/>
      <c r="EW47" s="6"/>
      <c r="EX47" s="6"/>
      <c r="EY47" s="6"/>
      <c r="EZ47" s="6"/>
      <c r="FA47" s="6"/>
      <c r="FB47" s="6"/>
      <c r="FC47" s="6"/>
      <c r="FD47" s="6"/>
      <c r="FE47" s="6"/>
      <c r="FF47" s="6"/>
      <c r="FG47" s="6"/>
      <c r="FH47" s="6"/>
      <c r="FI47" s="6"/>
      <c r="FJ47" s="6"/>
      <c r="FK47" s="6"/>
      <c r="FL47" s="6"/>
      <c r="FM47" s="6"/>
    </row>
    <row r="48" spans="1:169" x14ac:dyDescent="0.3">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c r="AI48" s="6"/>
      <c r="AJ48" s="6"/>
      <c r="AK48" s="6"/>
      <c r="AL48" s="6"/>
      <c r="AM48" s="6"/>
      <c r="AN48" s="6"/>
      <c r="AO48" s="6"/>
      <c r="AP48" s="6"/>
      <c r="AQ48" s="6"/>
      <c r="AR48" s="6"/>
      <c r="AS48" s="6"/>
      <c r="AT48" s="6"/>
      <c r="AU48" s="6"/>
      <c r="AV48" s="6"/>
      <c r="AW48" s="6"/>
      <c r="AX48" s="6"/>
      <c r="AY48" s="6"/>
      <c r="AZ48" s="6"/>
      <c r="BA48" s="6"/>
      <c r="BB48" s="6"/>
      <c r="BC48" s="6"/>
      <c r="BD48" s="6"/>
      <c r="BE48" s="6"/>
      <c r="BF48" s="6"/>
      <c r="BG48" s="6"/>
      <c r="BH48" s="6"/>
      <c r="BI48" s="6"/>
      <c r="BJ48" s="6"/>
      <c r="BK48" s="6"/>
      <c r="BL48" s="6"/>
      <c r="BM48" s="6"/>
      <c r="BN48" s="6"/>
      <c r="BO48" s="6"/>
      <c r="BP48" s="6"/>
      <c r="BQ48" s="6"/>
      <c r="BR48" s="6"/>
      <c r="BS48" s="6"/>
      <c r="BT48" s="6"/>
      <c r="BU48" s="6"/>
      <c r="BV48" s="6"/>
      <c r="BW48" s="6"/>
      <c r="BX48" s="6"/>
      <c r="BY48" s="6"/>
      <c r="BZ48" s="6"/>
      <c r="CA48" s="6"/>
      <c r="CB48" s="6"/>
      <c r="CC48" s="6"/>
      <c r="CD48" s="6"/>
      <c r="CE48" s="6"/>
      <c r="CF48" s="6"/>
      <c r="CG48" s="6"/>
      <c r="CH48" s="6"/>
      <c r="CI48" s="6"/>
      <c r="CJ48" s="6"/>
      <c r="CK48" s="6"/>
      <c r="CL48" s="6"/>
      <c r="CM48" s="6"/>
      <c r="CN48" s="6"/>
      <c r="CO48" s="6"/>
      <c r="CP48" s="6"/>
      <c r="CQ48" s="6"/>
      <c r="CR48" s="6"/>
      <c r="CS48" s="6"/>
      <c r="CT48" s="6"/>
      <c r="CU48" s="6"/>
      <c r="CV48" s="6"/>
      <c r="CW48" s="6"/>
      <c r="CX48" s="6"/>
      <c r="CY48" s="6"/>
      <c r="CZ48" s="6"/>
      <c r="DA48" s="6"/>
      <c r="DB48" s="6"/>
      <c r="DC48" s="6"/>
      <c r="DD48" s="6"/>
      <c r="DE48" s="6"/>
      <c r="DF48" s="6"/>
      <c r="DG48" s="6"/>
      <c r="DH48" s="6"/>
      <c r="DI48" s="6"/>
      <c r="DJ48" s="6"/>
      <c r="DK48" s="6"/>
      <c r="DL48" s="6"/>
      <c r="DM48" s="6"/>
      <c r="DN48" s="6"/>
      <c r="DO48" s="6"/>
      <c r="DP48" s="6"/>
      <c r="DQ48" s="6"/>
      <c r="DR48" s="6"/>
      <c r="DS48" s="6"/>
      <c r="DT48" s="6"/>
      <c r="DU48" s="6"/>
      <c r="DV48" s="6"/>
      <c r="DW48" s="6"/>
      <c r="DX48" s="6"/>
      <c r="DY48" s="6"/>
      <c r="DZ48" s="6"/>
      <c r="EA48" s="6"/>
      <c r="EB48" s="6"/>
      <c r="EC48" s="6"/>
      <c r="ED48" s="6"/>
      <c r="EE48" s="6"/>
      <c r="EF48" s="6"/>
      <c r="EG48" s="6"/>
      <c r="EH48" s="6"/>
      <c r="EI48" s="6"/>
      <c r="EJ48" s="6"/>
      <c r="EK48" s="6"/>
      <c r="EL48" s="6"/>
      <c r="EM48" s="6"/>
      <c r="EN48" s="6"/>
      <c r="EO48" s="6"/>
      <c r="EP48" s="6"/>
      <c r="EQ48" s="6"/>
      <c r="ER48" s="6"/>
      <c r="ES48" s="6"/>
      <c r="ET48" s="6"/>
      <c r="EU48" s="6"/>
      <c r="EV48" s="6"/>
      <c r="EW48" s="6"/>
      <c r="EX48" s="6"/>
      <c r="EY48" s="6"/>
      <c r="EZ48" s="6"/>
      <c r="FA48" s="6"/>
      <c r="FB48" s="6"/>
      <c r="FC48" s="6"/>
      <c r="FD48" s="6"/>
      <c r="FE48" s="6"/>
      <c r="FF48" s="6"/>
      <c r="FG48" s="6"/>
      <c r="FH48" s="6"/>
      <c r="FI48" s="6"/>
      <c r="FJ48" s="6"/>
      <c r="FK48" s="6"/>
      <c r="FL48" s="6"/>
      <c r="FM48" s="6"/>
    </row>
    <row r="49" spans="1:169" x14ac:dyDescent="0.3">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c r="AI49" s="6"/>
      <c r="AJ49" s="6"/>
      <c r="AK49" s="6"/>
      <c r="AL49" s="6"/>
      <c r="AM49" s="6"/>
      <c r="AN49" s="6"/>
      <c r="AO49" s="6"/>
      <c r="AP49" s="6"/>
      <c r="AQ49" s="6"/>
      <c r="AR49" s="6"/>
      <c r="AS49" s="6"/>
      <c r="AT49" s="6"/>
      <c r="AU49" s="6"/>
      <c r="AV49" s="6"/>
      <c r="AW49" s="6"/>
      <c r="AX49" s="6"/>
      <c r="AY49" s="6"/>
      <c r="AZ49" s="6"/>
      <c r="BA49" s="6"/>
      <c r="BB49" s="6"/>
      <c r="BC49" s="6"/>
      <c r="BD49" s="6"/>
      <c r="BE49" s="6"/>
      <c r="BF49" s="6"/>
      <c r="BG49" s="6"/>
      <c r="BH49" s="6"/>
      <c r="BI49" s="6"/>
      <c r="BJ49" s="6"/>
      <c r="BK49" s="6"/>
      <c r="BL49" s="6"/>
      <c r="BM49" s="6"/>
      <c r="BN49" s="6"/>
      <c r="BO49" s="6"/>
      <c r="BP49" s="6"/>
      <c r="BQ49" s="6"/>
      <c r="BR49" s="6"/>
      <c r="BS49" s="6"/>
      <c r="BT49" s="6"/>
      <c r="BU49" s="6"/>
      <c r="BV49" s="6"/>
      <c r="BW49" s="6"/>
      <c r="BX49" s="6"/>
      <c r="BY49" s="6"/>
      <c r="BZ49" s="6"/>
      <c r="CA49" s="6"/>
      <c r="CB49" s="6"/>
      <c r="CC49" s="6"/>
      <c r="CD49" s="6"/>
      <c r="CE49" s="6"/>
      <c r="CF49" s="6"/>
      <c r="CG49" s="6"/>
      <c r="CH49" s="6"/>
      <c r="CI49" s="6"/>
      <c r="CJ49" s="6"/>
      <c r="CK49" s="6"/>
      <c r="CL49" s="6"/>
      <c r="CM49" s="6"/>
      <c r="CN49" s="6"/>
      <c r="CO49" s="6"/>
      <c r="CP49" s="6"/>
      <c r="CQ49" s="6"/>
      <c r="CR49" s="6"/>
      <c r="CS49" s="6"/>
      <c r="CT49" s="6"/>
      <c r="CU49" s="6"/>
      <c r="CV49" s="6"/>
      <c r="CW49" s="6"/>
      <c r="CX49" s="6"/>
      <c r="CY49" s="6"/>
      <c r="CZ49" s="6"/>
      <c r="DA49" s="6"/>
      <c r="DB49" s="6"/>
      <c r="DC49" s="6"/>
      <c r="DD49" s="6"/>
      <c r="DE49" s="6"/>
      <c r="DF49" s="6"/>
      <c r="DG49" s="6"/>
      <c r="DH49" s="6"/>
      <c r="DI49" s="6"/>
      <c r="DJ49" s="6"/>
      <c r="DK49" s="6"/>
      <c r="DL49" s="6"/>
      <c r="DM49" s="6"/>
      <c r="DN49" s="6"/>
      <c r="DO49" s="6"/>
      <c r="DP49" s="6"/>
      <c r="DQ49" s="6"/>
      <c r="DR49" s="6"/>
      <c r="DS49" s="6"/>
      <c r="DT49" s="6"/>
      <c r="DU49" s="6"/>
      <c r="DV49" s="6"/>
      <c r="DW49" s="6"/>
      <c r="DX49" s="6"/>
      <c r="DY49" s="6"/>
      <c r="DZ49" s="6"/>
      <c r="EA49" s="6"/>
      <c r="EB49" s="6"/>
      <c r="EC49" s="6"/>
      <c r="ED49" s="6"/>
      <c r="EE49" s="6"/>
      <c r="EF49" s="6"/>
      <c r="EG49" s="6"/>
      <c r="EH49" s="6"/>
      <c r="EI49" s="6"/>
      <c r="EJ49" s="6"/>
      <c r="EK49" s="6"/>
      <c r="EL49" s="6"/>
      <c r="EM49" s="6"/>
      <c r="EN49" s="6"/>
      <c r="EO49" s="6"/>
      <c r="EP49" s="6"/>
      <c r="EQ49" s="6"/>
      <c r="ER49" s="6"/>
      <c r="ES49" s="6"/>
      <c r="ET49" s="6"/>
      <c r="EU49" s="6"/>
      <c r="EV49" s="6"/>
      <c r="EW49" s="6"/>
      <c r="EX49" s="6"/>
      <c r="EY49" s="6"/>
      <c r="EZ49" s="6"/>
      <c r="FA49" s="6"/>
      <c r="FB49" s="6"/>
      <c r="FC49" s="6"/>
      <c r="FD49" s="6"/>
      <c r="FE49" s="6"/>
      <c r="FF49" s="6"/>
      <c r="FG49" s="6"/>
      <c r="FH49" s="6"/>
      <c r="FI49" s="6"/>
      <c r="FJ49" s="6"/>
      <c r="FK49" s="6"/>
      <c r="FL49" s="6"/>
      <c r="FM49" s="6"/>
    </row>
    <row r="50" spans="1:169" x14ac:dyDescent="0.3">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c r="AI50" s="6"/>
      <c r="AJ50" s="6"/>
      <c r="AK50" s="6"/>
      <c r="AL50" s="6"/>
      <c r="AM50" s="6"/>
      <c r="AN50" s="6"/>
      <c r="AO50" s="6"/>
      <c r="AP50" s="6"/>
      <c r="AQ50" s="6"/>
      <c r="AR50" s="6"/>
      <c r="AS50" s="6"/>
      <c r="AT50" s="6"/>
      <c r="AU50" s="6"/>
      <c r="AV50" s="6"/>
      <c r="AW50" s="6"/>
      <c r="AX50" s="6"/>
      <c r="AY50" s="6"/>
      <c r="AZ50" s="6"/>
      <c r="BA50" s="6"/>
      <c r="BB50" s="6"/>
      <c r="BC50" s="6"/>
      <c r="BD50" s="6"/>
      <c r="BE50" s="6"/>
      <c r="BF50" s="6"/>
      <c r="BG50" s="6"/>
      <c r="BH50" s="6"/>
      <c r="BI50" s="6"/>
      <c r="BJ50" s="6"/>
      <c r="BK50" s="6"/>
      <c r="BL50" s="6"/>
      <c r="BM50" s="6"/>
      <c r="BN50" s="6"/>
      <c r="BO50" s="6"/>
      <c r="BP50" s="6"/>
      <c r="BQ50" s="6"/>
      <c r="BR50" s="6"/>
      <c r="BS50" s="6"/>
      <c r="BT50" s="6"/>
      <c r="BU50" s="6"/>
      <c r="BV50" s="6"/>
      <c r="BW50" s="6"/>
      <c r="BX50" s="6"/>
      <c r="BY50" s="6"/>
      <c r="BZ50" s="6"/>
      <c r="CA50" s="6"/>
      <c r="CB50" s="6"/>
      <c r="CC50" s="6"/>
      <c r="CD50" s="6"/>
      <c r="CE50" s="6"/>
      <c r="CF50" s="6"/>
      <c r="CG50" s="6"/>
      <c r="CH50" s="6"/>
      <c r="CI50" s="6"/>
      <c r="CJ50" s="6"/>
      <c r="CK50" s="6"/>
      <c r="CL50" s="6"/>
      <c r="CM50" s="6"/>
      <c r="CN50" s="6"/>
      <c r="CO50" s="6"/>
      <c r="CP50" s="6"/>
      <c r="CQ50" s="6"/>
      <c r="CR50" s="6"/>
      <c r="CS50" s="6"/>
      <c r="CT50" s="6"/>
      <c r="CU50" s="6"/>
      <c r="CV50" s="6"/>
      <c r="CW50" s="6"/>
      <c r="CX50" s="6"/>
      <c r="CY50" s="6"/>
      <c r="CZ50" s="6"/>
      <c r="DA50" s="6"/>
      <c r="DB50" s="6"/>
      <c r="DC50" s="6"/>
      <c r="DD50" s="6"/>
      <c r="DE50" s="6"/>
      <c r="DF50" s="6"/>
      <c r="DG50" s="6"/>
      <c r="DH50" s="6"/>
      <c r="DI50" s="6"/>
      <c r="DJ50" s="6"/>
      <c r="DK50" s="6"/>
      <c r="DL50" s="6"/>
      <c r="DM50" s="6"/>
      <c r="DN50" s="6"/>
      <c r="DO50" s="6"/>
      <c r="DP50" s="6"/>
      <c r="DQ50" s="6"/>
      <c r="DR50" s="6"/>
      <c r="DS50" s="6"/>
      <c r="DT50" s="6"/>
      <c r="DU50" s="6"/>
      <c r="DV50" s="6"/>
      <c r="DW50" s="6"/>
      <c r="DX50" s="6"/>
      <c r="DY50" s="6"/>
      <c r="DZ50" s="6"/>
      <c r="EA50" s="6"/>
      <c r="EB50" s="6"/>
      <c r="EC50" s="6"/>
      <c r="ED50" s="6"/>
      <c r="EE50" s="6"/>
      <c r="EF50" s="6"/>
      <c r="EG50" s="6"/>
      <c r="EH50" s="6"/>
      <c r="EI50" s="6"/>
      <c r="EJ50" s="6"/>
      <c r="EK50" s="6"/>
      <c r="EL50" s="6"/>
      <c r="EM50" s="6"/>
      <c r="EN50" s="6"/>
      <c r="EO50" s="6"/>
      <c r="EP50" s="6"/>
      <c r="EQ50" s="6"/>
      <c r="ER50" s="6"/>
      <c r="ES50" s="6"/>
      <c r="ET50" s="6"/>
      <c r="EU50" s="6"/>
      <c r="EV50" s="6"/>
      <c r="EW50" s="6"/>
      <c r="EX50" s="6"/>
      <c r="EY50" s="6"/>
      <c r="EZ50" s="6"/>
      <c r="FA50" s="6"/>
      <c r="FB50" s="6"/>
      <c r="FC50" s="6"/>
      <c r="FD50" s="6"/>
      <c r="FE50" s="6"/>
      <c r="FF50" s="6"/>
      <c r="FG50" s="6"/>
      <c r="FH50" s="6"/>
      <c r="FI50" s="6"/>
      <c r="FJ50" s="6"/>
      <c r="FK50" s="6"/>
      <c r="FL50" s="6"/>
      <c r="FM50" s="6"/>
    </row>
    <row r="51" spans="1:169" x14ac:dyDescent="0.3">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c r="AI51" s="6"/>
      <c r="AJ51" s="6"/>
      <c r="AK51" s="6"/>
      <c r="AL51" s="6"/>
      <c r="AM51" s="6"/>
      <c r="AN51" s="6"/>
      <c r="AO51" s="6"/>
      <c r="AP51" s="6"/>
      <c r="AQ51" s="6"/>
      <c r="AR51" s="6"/>
      <c r="AS51" s="6"/>
      <c r="AT51" s="6"/>
      <c r="AU51" s="6"/>
      <c r="AV51" s="6"/>
      <c r="AW51" s="6"/>
      <c r="AX51" s="6"/>
      <c r="AY51" s="6"/>
      <c r="AZ51" s="6"/>
      <c r="BA51" s="6"/>
      <c r="BB51" s="6"/>
      <c r="BC51" s="6"/>
      <c r="BD51" s="6"/>
      <c r="BE51" s="6"/>
      <c r="BF51" s="6"/>
      <c r="BG51" s="6"/>
      <c r="BH51" s="6"/>
      <c r="BI51" s="6"/>
      <c r="BJ51" s="6"/>
      <c r="BK51" s="6"/>
      <c r="BL51" s="6"/>
      <c r="BM51" s="6"/>
      <c r="BN51" s="6"/>
      <c r="BO51" s="6"/>
      <c r="BP51" s="6"/>
      <c r="BQ51" s="6"/>
      <c r="BR51" s="6"/>
      <c r="BS51" s="6"/>
      <c r="BT51" s="6"/>
      <c r="BU51" s="6"/>
      <c r="BV51" s="6"/>
      <c r="BW51" s="6"/>
      <c r="BX51" s="6"/>
      <c r="BY51" s="6"/>
      <c r="BZ51" s="6"/>
      <c r="CA51" s="6"/>
      <c r="CB51" s="6"/>
      <c r="CC51" s="6"/>
      <c r="CD51" s="6"/>
      <c r="CE51" s="6"/>
      <c r="CF51" s="6"/>
      <c r="CG51" s="6"/>
      <c r="CH51" s="6"/>
      <c r="CI51" s="6"/>
      <c r="CJ51" s="6"/>
      <c r="CK51" s="6"/>
      <c r="CL51" s="6"/>
      <c r="CM51" s="6"/>
      <c r="CN51" s="6"/>
      <c r="CO51" s="6"/>
      <c r="CP51" s="6"/>
      <c r="CQ51" s="6"/>
      <c r="CR51" s="6"/>
      <c r="CS51" s="6"/>
      <c r="CT51" s="6"/>
      <c r="CU51" s="6"/>
      <c r="CV51" s="6"/>
      <c r="CW51" s="6"/>
      <c r="CX51" s="6"/>
      <c r="CY51" s="6"/>
      <c r="CZ51" s="6"/>
      <c r="DA51" s="6"/>
      <c r="DB51" s="6"/>
      <c r="DC51" s="6"/>
      <c r="DD51" s="6"/>
      <c r="DE51" s="6"/>
      <c r="DF51" s="6"/>
      <c r="DG51" s="6"/>
      <c r="DH51" s="6"/>
      <c r="DI51" s="6"/>
      <c r="DJ51" s="6"/>
      <c r="DK51" s="6"/>
      <c r="DL51" s="6"/>
      <c r="DM51" s="6"/>
      <c r="DN51" s="6"/>
      <c r="DO51" s="6"/>
      <c r="DP51" s="6"/>
      <c r="DQ51" s="6"/>
      <c r="DR51" s="6"/>
      <c r="DS51" s="6"/>
      <c r="DT51" s="6"/>
      <c r="DU51" s="6"/>
      <c r="DV51" s="6"/>
      <c r="DW51" s="6"/>
      <c r="DX51" s="6"/>
      <c r="DY51" s="6"/>
      <c r="DZ51" s="6"/>
      <c r="EA51" s="6"/>
      <c r="EB51" s="6"/>
      <c r="EC51" s="6"/>
      <c r="ED51" s="6"/>
      <c r="EE51" s="6"/>
      <c r="EF51" s="6"/>
      <c r="EG51" s="6"/>
      <c r="EH51" s="6"/>
      <c r="EI51" s="6"/>
      <c r="EJ51" s="6"/>
      <c r="EK51" s="6"/>
      <c r="EL51" s="6"/>
      <c r="EM51" s="6"/>
      <c r="EN51" s="6"/>
      <c r="EO51" s="6"/>
      <c r="EP51" s="6"/>
      <c r="EQ51" s="6"/>
      <c r="ER51" s="6"/>
      <c r="ES51" s="6"/>
      <c r="ET51" s="6"/>
      <c r="EU51" s="6"/>
      <c r="EV51" s="6"/>
      <c r="EW51" s="6"/>
      <c r="EX51" s="6"/>
      <c r="EY51" s="6"/>
      <c r="EZ51" s="6"/>
      <c r="FA51" s="6"/>
      <c r="FB51" s="6"/>
      <c r="FC51" s="6"/>
      <c r="FD51" s="6"/>
      <c r="FE51" s="6"/>
      <c r="FF51" s="6"/>
      <c r="FG51" s="6"/>
      <c r="FH51" s="6"/>
      <c r="FI51" s="6"/>
      <c r="FJ51" s="6"/>
      <c r="FK51" s="6"/>
      <c r="FL51" s="6"/>
      <c r="FM51" s="6"/>
    </row>
    <row r="52" spans="1:169" x14ac:dyDescent="0.3">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c r="AI52" s="6"/>
      <c r="AJ52" s="6"/>
      <c r="AK52" s="6"/>
      <c r="AL52" s="6"/>
      <c r="AM52" s="6"/>
      <c r="AN52" s="6"/>
      <c r="AO52" s="6"/>
      <c r="AP52" s="6"/>
      <c r="AQ52" s="6"/>
      <c r="AR52" s="6"/>
      <c r="AS52" s="6"/>
      <c r="AT52" s="6"/>
      <c r="AU52" s="6"/>
      <c r="AV52" s="6"/>
      <c r="AW52" s="6"/>
      <c r="AX52" s="6"/>
      <c r="AY52" s="6"/>
      <c r="AZ52" s="6"/>
      <c r="BA52" s="6"/>
      <c r="BB52" s="6"/>
      <c r="BC52" s="6"/>
      <c r="BD52" s="6"/>
      <c r="BE52" s="6"/>
      <c r="BF52" s="6"/>
      <c r="BG52" s="6"/>
      <c r="BH52" s="6"/>
      <c r="BI52" s="6"/>
      <c r="BJ52" s="6"/>
      <c r="BK52" s="6"/>
      <c r="BL52" s="6"/>
      <c r="BM52" s="6"/>
      <c r="BN52" s="6"/>
      <c r="BO52" s="6"/>
      <c r="BP52" s="6"/>
      <c r="BQ52" s="6"/>
      <c r="BR52" s="6"/>
      <c r="BS52" s="6"/>
      <c r="BT52" s="6"/>
      <c r="BU52" s="6"/>
      <c r="BV52" s="6"/>
      <c r="BW52" s="6"/>
      <c r="BX52" s="6"/>
      <c r="BY52" s="6"/>
      <c r="BZ52" s="6"/>
      <c r="CA52" s="6"/>
      <c r="CB52" s="6"/>
      <c r="CC52" s="6"/>
      <c r="CD52" s="6"/>
      <c r="CE52" s="6"/>
      <c r="CF52" s="6"/>
      <c r="CG52" s="6"/>
      <c r="CH52" s="6"/>
      <c r="CI52" s="6"/>
      <c r="CJ52" s="6"/>
      <c r="CK52" s="6"/>
      <c r="CL52" s="6"/>
      <c r="CM52" s="6"/>
      <c r="CN52" s="6"/>
      <c r="CO52" s="6"/>
      <c r="CP52" s="6"/>
      <c r="CQ52" s="6"/>
      <c r="CR52" s="6"/>
      <c r="CS52" s="6"/>
      <c r="CT52" s="6"/>
      <c r="CU52" s="6"/>
      <c r="CV52" s="6"/>
      <c r="CW52" s="6"/>
      <c r="CX52" s="6"/>
      <c r="CY52" s="6"/>
      <c r="CZ52" s="6"/>
      <c r="DA52" s="6"/>
      <c r="DB52" s="6"/>
      <c r="DC52" s="6"/>
      <c r="DD52" s="6"/>
      <c r="DE52" s="6"/>
      <c r="DF52" s="6"/>
      <c r="DG52" s="6"/>
      <c r="DH52" s="6"/>
      <c r="DI52" s="6"/>
      <c r="DJ52" s="6"/>
      <c r="DK52" s="6"/>
      <c r="DL52" s="6"/>
      <c r="DM52" s="6"/>
      <c r="DN52" s="6"/>
      <c r="DO52" s="6"/>
      <c r="DP52" s="6"/>
      <c r="DQ52" s="6"/>
      <c r="DR52" s="6"/>
      <c r="DS52" s="6"/>
      <c r="DT52" s="6"/>
      <c r="DU52" s="6"/>
      <c r="DV52" s="6"/>
      <c r="DW52" s="6"/>
      <c r="DX52" s="6"/>
      <c r="DY52" s="6"/>
      <c r="DZ52" s="6"/>
      <c r="EA52" s="6"/>
      <c r="EB52" s="6"/>
      <c r="EC52" s="6"/>
      <c r="ED52" s="6"/>
      <c r="EE52" s="6"/>
      <c r="EF52" s="6"/>
      <c r="EG52" s="6"/>
      <c r="EH52" s="6"/>
      <c r="EI52" s="6"/>
      <c r="EJ52" s="6"/>
      <c r="EK52" s="6"/>
      <c r="EL52" s="6"/>
      <c r="EM52" s="6"/>
      <c r="EN52" s="6"/>
      <c r="EO52" s="6"/>
      <c r="EP52" s="6"/>
      <c r="EQ52" s="6"/>
      <c r="ER52" s="6"/>
      <c r="ES52" s="6"/>
      <c r="ET52" s="6"/>
      <c r="EU52" s="6"/>
      <c r="EV52" s="6"/>
      <c r="EW52" s="6"/>
      <c r="EX52" s="6"/>
      <c r="EY52" s="6"/>
      <c r="EZ52" s="6"/>
      <c r="FA52" s="6"/>
      <c r="FB52" s="6"/>
      <c r="FC52" s="6"/>
      <c r="FD52" s="6"/>
      <c r="FE52" s="6"/>
      <c r="FF52" s="6"/>
      <c r="FG52" s="6"/>
      <c r="FH52" s="6"/>
      <c r="FI52" s="6"/>
      <c r="FJ52" s="6"/>
      <c r="FK52" s="6"/>
      <c r="FL52" s="6"/>
      <c r="FM52" s="6"/>
    </row>
    <row r="53" spans="1:169" x14ac:dyDescent="0.3">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c r="AI53" s="6"/>
      <c r="AJ53" s="6"/>
      <c r="AK53" s="6"/>
      <c r="AL53" s="6"/>
      <c r="AM53" s="6"/>
      <c r="AN53" s="6"/>
      <c r="AO53" s="6"/>
      <c r="AP53" s="6"/>
      <c r="AQ53" s="6"/>
      <c r="AR53" s="6"/>
      <c r="AS53" s="6"/>
      <c r="AT53" s="6"/>
      <c r="AU53" s="6"/>
      <c r="AV53" s="6"/>
      <c r="AW53" s="6"/>
      <c r="AX53" s="6"/>
      <c r="AY53" s="6"/>
      <c r="AZ53" s="6"/>
      <c r="BA53" s="6"/>
      <c r="BB53" s="6"/>
      <c r="BC53" s="6"/>
      <c r="BD53" s="6"/>
      <c r="BE53" s="6"/>
      <c r="BF53" s="6"/>
      <c r="BG53" s="6"/>
      <c r="BH53" s="6"/>
      <c r="BI53" s="6"/>
      <c r="BJ53" s="6"/>
      <c r="BK53" s="6"/>
      <c r="BL53" s="6"/>
      <c r="BM53" s="6"/>
      <c r="BN53" s="6"/>
      <c r="BO53" s="6"/>
      <c r="BP53" s="6"/>
      <c r="BQ53" s="6"/>
      <c r="BR53" s="6"/>
      <c r="BS53" s="6"/>
      <c r="BT53" s="6"/>
      <c r="BU53" s="6"/>
      <c r="BV53" s="6"/>
      <c r="BW53" s="6"/>
      <c r="BX53" s="6"/>
      <c r="BY53" s="6"/>
      <c r="BZ53" s="6"/>
      <c r="CA53" s="6"/>
      <c r="CB53" s="6"/>
      <c r="CC53" s="6"/>
      <c r="CD53" s="6"/>
      <c r="CE53" s="6"/>
      <c r="CF53" s="6"/>
      <c r="CG53" s="6"/>
      <c r="CH53" s="6"/>
      <c r="CI53" s="6"/>
      <c r="CJ53" s="6"/>
      <c r="CK53" s="6"/>
      <c r="CL53" s="6"/>
      <c r="CM53" s="6"/>
      <c r="CN53" s="6"/>
      <c r="CO53" s="6"/>
      <c r="CP53" s="6"/>
      <c r="CQ53" s="6"/>
      <c r="CR53" s="6"/>
      <c r="CS53" s="6"/>
      <c r="CT53" s="6"/>
      <c r="CU53" s="6"/>
      <c r="CV53" s="6"/>
      <c r="CW53" s="6"/>
      <c r="CX53" s="6"/>
      <c r="CY53" s="6"/>
      <c r="CZ53" s="6"/>
      <c r="DA53" s="6"/>
      <c r="DB53" s="6"/>
      <c r="DC53" s="6"/>
      <c r="DD53" s="6"/>
      <c r="DE53" s="6"/>
      <c r="DF53" s="6"/>
      <c r="DG53" s="6"/>
      <c r="DH53" s="6"/>
      <c r="DI53" s="6"/>
      <c r="DJ53" s="6"/>
      <c r="DK53" s="6"/>
      <c r="DL53" s="6"/>
      <c r="DM53" s="6"/>
      <c r="DN53" s="6"/>
      <c r="DO53" s="6"/>
      <c r="DP53" s="6"/>
      <c r="DQ53" s="6"/>
      <c r="DR53" s="6"/>
      <c r="DS53" s="6"/>
      <c r="DT53" s="6"/>
      <c r="DU53" s="6"/>
      <c r="DV53" s="6"/>
      <c r="DW53" s="6"/>
      <c r="DX53" s="6"/>
      <c r="DY53" s="6"/>
      <c r="DZ53" s="6"/>
      <c r="EA53" s="6"/>
      <c r="EB53" s="6"/>
      <c r="EC53" s="6"/>
      <c r="ED53" s="6"/>
      <c r="EE53" s="6"/>
      <c r="EF53" s="6"/>
      <c r="EG53" s="6"/>
      <c r="EH53" s="6"/>
      <c r="EI53" s="6"/>
      <c r="EJ53" s="6"/>
      <c r="EK53" s="6"/>
      <c r="EL53" s="6"/>
      <c r="EM53" s="6"/>
      <c r="EN53" s="6"/>
      <c r="EO53" s="6"/>
      <c r="EP53" s="6"/>
      <c r="EQ53" s="6"/>
      <c r="ER53" s="6"/>
      <c r="ES53" s="6"/>
      <c r="ET53" s="6"/>
      <c r="EU53" s="6"/>
      <c r="EV53" s="6"/>
      <c r="EW53" s="6"/>
      <c r="EX53" s="6"/>
      <c r="EY53" s="6"/>
      <c r="EZ53" s="6"/>
      <c r="FA53" s="6"/>
      <c r="FB53" s="6"/>
      <c r="FC53" s="6"/>
      <c r="FD53" s="6"/>
      <c r="FE53" s="6"/>
      <c r="FF53" s="6"/>
      <c r="FG53" s="6"/>
      <c r="FH53" s="6"/>
      <c r="FI53" s="6"/>
      <c r="FJ53" s="6"/>
      <c r="FK53" s="6"/>
      <c r="FL53" s="6"/>
      <c r="FM53" s="6"/>
    </row>
    <row r="54" spans="1:169" x14ac:dyDescent="0.3">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c r="AI54" s="6"/>
      <c r="AJ54" s="6"/>
      <c r="AK54" s="6"/>
      <c r="AL54" s="6"/>
      <c r="AM54" s="6"/>
      <c r="AN54" s="6"/>
      <c r="AO54" s="6"/>
      <c r="AP54" s="6"/>
      <c r="AQ54" s="6"/>
      <c r="AR54" s="6"/>
      <c r="AS54" s="6"/>
      <c r="AT54" s="6"/>
      <c r="AU54" s="6"/>
      <c r="AV54" s="6"/>
      <c r="AW54" s="6"/>
      <c r="AX54" s="6"/>
      <c r="AY54" s="6"/>
      <c r="AZ54" s="6"/>
      <c r="BA54" s="6"/>
      <c r="BB54" s="6"/>
      <c r="BC54" s="6"/>
      <c r="BD54" s="6"/>
      <c r="BE54" s="6"/>
      <c r="BF54" s="6"/>
      <c r="BG54" s="6"/>
      <c r="BH54" s="6"/>
      <c r="BI54" s="6"/>
      <c r="BJ54" s="6"/>
      <c r="BK54" s="6"/>
      <c r="BL54" s="6"/>
      <c r="BM54" s="6"/>
      <c r="BN54" s="6"/>
      <c r="BO54" s="6"/>
      <c r="BP54" s="6"/>
      <c r="BQ54" s="6"/>
      <c r="BR54" s="6"/>
      <c r="BS54" s="6"/>
      <c r="BT54" s="6"/>
      <c r="BU54" s="6"/>
      <c r="BV54" s="6"/>
      <c r="BW54" s="6"/>
      <c r="BX54" s="6"/>
      <c r="BY54" s="6"/>
      <c r="BZ54" s="6"/>
      <c r="CA54" s="6"/>
      <c r="CB54" s="6"/>
      <c r="CC54" s="6"/>
      <c r="CD54" s="6"/>
      <c r="CE54" s="6"/>
      <c r="CF54" s="6"/>
      <c r="CG54" s="6"/>
      <c r="CH54" s="6"/>
      <c r="CI54" s="6"/>
      <c r="CJ54" s="6"/>
      <c r="CK54" s="6"/>
      <c r="CL54" s="6"/>
      <c r="CM54" s="6"/>
      <c r="CN54" s="6"/>
      <c r="CO54" s="6"/>
      <c r="CP54" s="6"/>
      <c r="CQ54" s="6"/>
      <c r="CR54" s="6"/>
      <c r="CS54" s="6"/>
      <c r="CT54" s="6"/>
      <c r="CU54" s="6"/>
      <c r="CV54" s="6"/>
      <c r="CW54" s="6"/>
      <c r="CX54" s="6"/>
      <c r="CY54" s="6"/>
      <c r="CZ54" s="6"/>
      <c r="DA54" s="6"/>
      <c r="DB54" s="6"/>
      <c r="DC54" s="6"/>
      <c r="DD54" s="6"/>
      <c r="DE54" s="6"/>
      <c r="DF54" s="6"/>
      <c r="DG54" s="6"/>
      <c r="DH54" s="6"/>
      <c r="DI54" s="6"/>
      <c r="DJ54" s="6"/>
      <c r="DK54" s="6"/>
      <c r="DL54" s="6"/>
      <c r="DM54" s="6"/>
      <c r="DN54" s="6"/>
      <c r="DO54" s="6"/>
      <c r="DP54" s="6"/>
      <c r="DQ54" s="6"/>
      <c r="DR54" s="6"/>
      <c r="DS54" s="6"/>
      <c r="DT54" s="6"/>
      <c r="DU54" s="6"/>
      <c r="DV54" s="6"/>
      <c r="DW54" s="6"/>
      <c r="DX54" s="6"/>
      <c r="DY54" s="6"/>
      <c r="DZ54" s="6"/>
      <c r="EA54" s="6"/>
      <c r="EB54" s="6"/>
      <c r="EC54" s="6"/>
      <c r="ED54" s="6"/>
      <c r="EE54" s="6"/>
      <c r="EF54" s="6"/>
      <c r="EG54" s="6"/>
      <c r="EH54" s="6"/>
      <c r="EI54" s="6"/>
      <c r="EJ54" s="6"/>
      <c r="EK54" s="6"/>
      <c r="EL54" s="6"/>
      <c r="EM54" s="6"/>
      <c r="EN54" s="6"/>
      <c r="EO54" s="6"/>
      <c r="EP54" s="6"/>
      <c r="EQ54" s="6"/>
      <c r="ER54" s="6"/>
      <c r="ES54" s="6"/>
      <c r="ET54" s="6"/>
      <c r="EU54" s="6"/>
      <c r="EV54" s="6"/>
      <c r="EW54" s="6"/>
      <c r="EX54" s="6"/>
      <c r="EY54" s="6"/>
      <c r="EZ54" s="6"/>
      <c r="FA54" s="6"/>
      <c r="FB54" s="6"/>
      <c r="FC54" s="6"/>
      <c r="FD54" s="6"/>
      <c r="FE54" s="6"/>
      <c r="FF54" s="6"/>
      <c r="FG54" s="6"/>
      <c r="FH54" s="6"/>
      <c r="FI54" s="6"/>
      <c r="FJ54" s="6"/>
      <c r="FK54" s="6"/>
      <c r="FL54" s="6"/>
      <c r="FM54" s="6"/>
    </row>
    <row r="55" spans="1:169" x14ac:dyDescent="0.3">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c r="AI55" s="6"/>
      <c r="AJ55" s="6"/>
      <c r="AK55" s="6"/>
      <c r="AL55" s="6"/>
      <c r="AM55" s="6"/>
      <c r="AN55" s="6"/>
      <c r="AO55" s="6"/>
      <c r="AP55" s="6"/>
      <c r="AQ55" s="6"/>
      <c r="AR55" s="6"/>
      <c r="AS55" s="6"/>
      <c r="AT55" s="6"/>
      <c r="AU55" s="6"/>
      <c r="AV55" s="6"/>
      <c r="AW55" s="6"/>
      <c r="AX55" s="6"/>
      <c r="AY55" s="6"/>
      <c r="AZ55" s="6"/>
      <c r="BA55" s="6"/>
      <c r="BB55" s="6"/>
      <c r="BC55" s="6"/>
      <c r="BD55" s="6"/>
      <c r="BE55" s="6"/>
      <c r="BF55" s="6"/>
      <c r="BG55" s="6"/>
      <c r="BH55" s="6"/>
      <c r="BI55" s="6"/>
      <c r="BJ55" s="6"/>
      <c r="BK55" s="6"/>
      <c r="BL55" s="6"/>
      <c r="BM55" s="6"/>
      <c r="BN55" s="6"/>
      <c r="BO55" s="6"/>
      <c r="BP55" s="6"/>
      <c r="BQ55" s="6"/>
      <c r="BR55" s="6"/>
      <c r="BS55" s="6"/>
      <c r="BT55" s="6"/>
      <c r="BU55" s="6"/>
      <c r="BV55" s="6"/>
      <c r="BW55" s="6"/>
      <c r="BX55" s="6"/>
      <c r="BY55" s="6"/>
      <c r="BZ55" s="6"/>
      <c r="CA55" s="6"/>
      <c r="CB55" s="6"/>
      <c r="CC55" s="6"/>
      <c r="CD55" s="6"/>
      <c r="CE55" s="6"/>
      <c r="CF55" s="6"/>
      <c r="CG55" s="6"/>
      <c r="CH55" s="6"/>
      <c r="CI55" s="6"/>
      <c r="CJ55" s="6"/>
      <c r="CK55" s="6"/>
      <c r="CL55" s="6"/>
      <c r="CM55" s="6"/>
      <c r="CN55" s="6"/>
      <c r="CO55" s="6"/>
      <c r="CP55" s="6"/>
      <c r="CQ55" s="6"/>
      <c r="CR55" s="6"/>
      <c r="CS55" s="6"/>
      <c r="CT55" s="6"/>
      <c r="CU55" s="6"/>
      <c r="CV55" s="6"/>
      <c r="CW55" s="6"/>
      <c r="CX55" s="6"/>
      <c r="CY55" s="6"/>
      <c r="CZ55" s="6"/>
      <c r="DA55" s="6"/>
      <c r="DB55" s="6"/>
      <c r="DC55" s="6"/>
      <c r="DD55" s="6"/>
      <c r="DE55" s="6"/>
      <c r="DF55" s="6"/>
      <c r="DG55" s="6"/>
      <c r="DH55" s="6"/>
      <c r="DI55" s="6"/>
      <c r="DJ55" s="6"/>
      <c r="DK55" s="6"/>
      <c r="DL55" s="6"/>
      <c r="DM55" s="6"/>
      <c r="DN55" s="6"/>
      <c r="DO55" s="6"/>
      <c r="DP55" s="6"/>
      <c r="DQ55" s="6"/>
      <c r="DR55" s="6"/>
      <c r="DS55" s="6"/>
      <c r="DT55" s="6"/>
      <c r="DU55" s="6"/>
      <c r="DV55" s="6"/>
      <c r="DW55" s="6"/>
      <c r="DX55" s="6"/>
      <c r="DY55" s="6"/>
      <c r="DZ55" s="6"/>
      <c r="EA55" s="6"/>
      <c r="EB55" s="6"/>
      <c r="EC55" s="6"/>
      <c r="ED55" s="6"/>
      <c r="EE55" s="6"/>
      <c r="EF55" s="6"/>
      <c r="EG55" s="6"/>
      <c r="EH55" s="6"/>
      <c r="EI55" s="6"/>
      <c r="EJ55" s="6"/>
      <c r="EK55" s="6"/>
      <c r="EL55" s="6"/>
      <c r="EM55" s="6"/>
      <c r="EN55" s="6"/>
      <c r="EO55" s="6"/>
      <c r="EP55" s="6"/>
      <c r="EQ55" s="6"/>
      <c r="ER55" s="6"/>
      <c r="ES55" s="6"/>
      <c r="ET55" s="6"/>
      <c r="EU55" s="6"/>
      <c r="EV55" s="6"/>
      <c r="EW55" s="6"/>
      <c r="EX55" s="6"/>
      <c r="EY55" s="6"/>
      <c r="EZ55" s="6"/>
      <c r="FA55" s="6"/>
      <c r="FB55" s="6"/>
      <c r="FC55" s="6"/>
      <c r="FD55" s="6"/>
      <c r="FE55" s="6"/>
      <c r="FF55" s="6"/>
      <c r="FG55" s="6"/>
      <c r="FH55" s="6"/>
      <c r="FI55" s="6"/>
      <c r="FJ55" s="6"/>
      <c r="FK55" s="6"/>
      <c r="FL55" s="6"/>
      <c r="FM55" s="6"/>
    </row>
    <row r="56" spans="1:169" x14ac:dyDescent="0.3">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c r="AI56" s="6"/>
      <c r="AJ56" s="6"/>
      <c r="AK56" s="6"/>
      <c r="AL56" s="6"/>
      <c r="AM56" s="6"/>
      <c r="AN56" s="6"/>
      <c r="AO56" s="6"/>
      <c r="AP56" s="6"/>
      <c r="AQ56" s="6"/>
      <c r="AR56" s="6"/>
      <c r="AS56" s="6"/>
      <c r="AT56" s="6"/>
      <c r="AU56" s="6"/>
      <c r="AV56" s="6"/>
      <c r="AW56" s="6"/>
      <c r="AX56" s="6"/>
      <c r="AY56" s="6"/>
      <c r="AZ56" s="6"/>
      <c r="BA56" s="6"/>
      <c r="BB56" s="6"/>
      <c r="BC56" s="6"/>
      <c r="BD56" s="6"/>
      <c r="BE56" s="6"/>
      <c r="BF56" s="6"/>
      <c r="BG56" s="6"/>
      <c r="BH56" s="6"/>
      <c r="BI56" s="6"/>
      <c r="BJ56" s="6"/>
      <c r="BK56" s="6"/>
      <c r="BL56" s="6"/>
      <c r="BM56" s="6"/>
      <c r="BN56" s="6"/>
      <c r="BO56" s="6"/>
      <c r="BP56" s="6"/>
      <c r="BQ56" s="6"/>
      <c r="BR56" s="6"/>
      <c r="BS56" s="6"/>
      <c r="BT56" s="6"/>
      <c r="BU56" s="6"/>
      <c r="BV56" s="6"/>
      <c r="BW56" s="6"/>
      <c r="BX56" s="6"/>
      <c r="BY56" s="6"/>
      <c r="BZ56" s="6"/>
      <c r="CA56" s="6"/>
      <c r="CB56" s="6"/>
      <c r="CC56" s="6"/>
      <c r="CD56" s="6"/>
      <c r="CE56" s="6"/>
      <c r="CF56" s="6"/>
      <c r="CG56" s="6"/>
      <c r="CH56" s="6"/>
      <c r="CI56" s="6"/>
      <c r="CJ56" s="6"/>
      <c r="CK56" s="6"/>
      <c r="CL56" s="6"/>
      <c r="CM56" s="6"/>
      <c r="CN56" s="6"/>
      <c r="CO56" s="6"/>
      <c r="CP56" s="6"/>
      <c r="CQ56" s="6"/>
      <c r="CR56" s="6"/>
      <c r="CS56" s="6"/>
      <c r="CT56" s="6"/>
      <c r="CU56" s="6"/>
      <c r="CV56" s="6"/>
      <c r="CW56" s="6"/>
      <c r="CX56" s="6"/>
      <c r="CY56" s="6"/>
      <c r="CZ56" s="6"/>
      <c r="DA56" s="6"/>
      <c r="DB56" s="6"/>
      <c r="DC56" s="6"/>
      <c r="DD56" s="6"/>
      <c r="DE56" s="6"/>
      <c r="DF56" s="6"/>
      <c r="DG56" s="6"/>
      <c r="DH56" s="6"/>
      <c r="DI56" s="6"/>
      <c r="DJ56" s="6"/>
      <c r="DK56" s="6"/>
      <c r="DL56" s="6"/>
      <c r="DM56" s="6"/>
      <c r="DN56" s="6"/>
      <c r="DO56" s="6"/>
      <c r="DP56" s="6"/>
      <c r="DQ56" s="6"/>
      <c r="DR56" s="6"/>
      <c r="DS56" s="6"/>
      <c r="DT56" s="6"/>
      <c r="DU56" s="6"/>
      <c r="DV56" s="6"/>
      <c r="DW56" s="6"/>
      <c r="DX56" s="6"/>
      <c r="DY56" s="6"/>
      <c r="DZ56" s="6"/>
      <c r="EA56" s="6"/>
      <c r="EB56" s="6"/>
      <c r="EC56" s="6"/>
      <c r="ED56" s="6"/>
      <c r="EE56" s="6"/>
      <c r="EF56" s="6"/>
      <c r="EG56" s="6"/>
      <c r="EH56" s="6"/>
      <c r="EI56" s="6"/>
      <c r="EJ56" s="6"/>
      <c r="EK56" s="6"/>
      <c r="EL56" s="6"/>
      <c r="EM56" s="6"/>
      <c r="EN56" s="6"/>
      <c r="EO56" s="6"/>
      <c r="EP56" s="6"/>
      <c r="EQ56" s="6"/>
      <c r="ER56" s="6"/>
      <c r="ES56" s="6"/>
      <c r="ET56" s="6"/>
      <c r="EU56" s="6"/>
      <c r="EV56" s="6"/>
      <c r="EW56" s="6"/>
      <c r="EX56" s="6"/>
      <c r="EY56" s="6"/>
      <c r="EZ56" s="6"/>
      <c r="FA56" s="6"/>
      <c r="FB56" s="6"/>
      <c r="FC56" s="6"/>
      <c r="FD56" s="6"/>
      <c r="FE56" s="6"/>
      <c r="FF56" s="6"/>
      <c r="FG56" s="6"/>
      <c r="FH56" s="6"/>
      <c r="FI56" s="6"/>
      <c r="FJ56" s="6"/>
      <c r="FK56" s="6"/>
      <c r="FL56" s="6"/>
      <c r="FM56" s="6"/>
    </row>
    <row r="57" spans="1:169" x14ac:dyDescent="0.3">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c r="AI57" s="6"/>
      <c r="AJ57" s="6"/>
      <c r="AK57" s="6"/>
      <c r="AL57" s="6"/>
      <c r="AM57" s="6"/>
      <c r="AN57" s="6"/>
      <c r="AO57" s="6"/>
      <c r="AP57" s="6"/>
      <c r="AQ57" s="6"/>
      <c r="AR57" s="6"/>
      <c r="AS57" s="6"/>
      <c r="AT57" s="6"/>
      <c r="AU57" s="6"/>
      <c r="AV57" s="6"/>
      <c r="AW57" s="6"/>
      <c r="AX57" s="6"/>
      <c r="AY57" s="6"/>
      <c r="AZ57" s="6"/>
      <c r="BA57" s="6"/>
      <c r="BB57" s="6"/>
      <c r="BC57" s="6"/>
      <c r="BD57" s="6"/>
      <c r="BE57" s="6"/>
      <c r="BF57" s="6"/>
      <c r="BG57" s="6"/>
      <c r="BH57" s="6"/>
      <c r="BI57" s="6"/>
      <c r="BJ57" s="6"/>
      <c r="BK57" s="6"/>
      <c r="BL57" s="6"/>
      <c r="BM57" s="6"/>
      <c r="BN57" s="6"/>
      <c r="BO57" s="6"/>
      <c r="BP57" s="6"/>
      <c r="BQ57" s="6"/>
      <c r="BR57" s="6"/>
      <c r="BS57" s="6"/>
      <c r="BT57" s="6"/>
      <c r="BU57" s="6"/>
      <c r="BV57" s="6"/>
      <c r="BW57" s="6"/>
      <c r="BX57" s="6"/>
      <c r="BY57" s="6"/>
      <c r="BZ57" s="6"/>
      <c r="CA57" s="6"/>
      <c r="CB57" s="6"/>
      <c r="CC57" s="6"/>
      <c r="CD57" s="6"/>
      <c r="CE57" s="6"/>
      <c r="CF57" s="6"/>
      <c r="CG57" s="6"/>
      <c r="CH57" s="6"/>
      <c r="CI57" s="6"/>
      <c r="CJ57" s="6"/>
      <c r="CK57" s="6"/>
      <c r="CL57" s="6"/>
      <c r="CM57" s="6"/>
      <c r="CN57" s="6"/>
      <c r="CO57" s="6"/>
      <c r="CP57" s="6"/>
      <c r="CQ57" s="6"/>
      <c r="CR57" s="6"/>
      <c r="CS57" s="6"/>
      <c r="CT57" s="6"/>
      <c r="CU57" s="6"/>
      <c r="CV57" s="6"/>
      <c r="CW57" s="6"/>
      <c r="CX57" s="6"/>
      <c r="CY57" s="6"/>
      <c r="CZ57" s="6"/>
      <c r="DA57" s="6"/>
      <c r="DB57" s="6"/>
      <c r="DC57" s="6"/>
      <c r="DD57" s="6"/>
      <c r="DE57" s="6"/>
      <c r="DF57" s="6"/>
      <c r="DG57" s="6"/>
      <c r="DH57" s="6"/>
      <c r="DI57" s="6"/>
      <c r="DJ57" s="6"/>
      <c r="DK57" s="6"/>
      <c r="DL57" s="6"/>
      <c r="DM57" s="6"/>
      <c r="DN57" s="6"/>
      <c r="DO57" s="6"/>
      <c r="DP57" s="6"/>
      <c r="DQ57" s="6"/>
      <c r="DR57" s="6"/>
      <c r="DS57" s="6"/>
      <c r="DT57" s="6"/>
      <c r="DU57" s="6"/>
      <c r="DV57" s="6"/>
      <c r="DW57" s="6"/>
      <c r="DX57" s="6"/>
      <c r="DY57" s="6"/>
      <c r="DZ57" s="6"/>
      <c r="EA57" s="6"/>
      <c r="EB57" s="6"/>
      <c r="EC57" s="6"/>
      <c r="ED57" s="6"/>
      <c r="EE57" s="6"/>
      <c r="EF57" s="6"/>
      <c r="EG57" s="6"/>
      <c r="EH57" s="6"/>
      <c r="EI57" s="6"/>
      <c r="EJ57" s="6"/>
      <c r="EK57" s="6"/>
      <c r="EL57" s="6"/>
      <c r="EM57" s="6"/>
      <c r="EN57" s="6"/>
      <c r="EO57" s="6"/>
      <c r="EP57" s="6"/>
      <c r="EQ57" s="6"/>
      <c r="ER57" s="6"/>
      <c r="ES57" s="6"/>
      <c r="ET57" s="6"/>
      <c r="EU57" s="6"/>
      <c r="EV57" s="6"/>
      <c r="EW57" s="6"/>
      <c r="EX57" s="6"/>
      <c r="EY57" s="6"/>
      <c r="EZ57" s="6"/>
      <c r="FA57" s="6"/>
      <c r="FB57" s="6"/>
      <c r="FC57" s="6"/>
      <c r="FD57" s="6"/>
      <c r="FE57" s="6"/>
      <c r="FF57" s="6"/>
      <c r="FG57" s="6"/>
      <c r="FH57" s="6"/>
      <c r="FI57" s="6"/>
      <c r="FJ57" s="6"/>
      <c r="FK57" s="6"/>
      <c r="FL57" s="6"/>
      <c r="FM57" s="6"/>
    </row>
    <row r="58" spans="1:169" x14ac:dyDescent="0.3">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c r="AI58" s="6"/>
      <c r="AJ58" s="6"/>
      <c r="AK58" s="6"/>
      <c r="AL58" s="6"/>
      <c r="AM58" s="6"/>
      <c r="AN58" s="6"/>
      <c r="AO58" s="6"/>
      <c r="AP58" s="6"/>
      <c r="AQ58" s="6"/>
      <c r="AR58" s="6"/>
      <c r="AS58" s="6"/>
      <c r="AT58" s="6"/>
      <c r="AU58" s="6"/>
      <c r="AV58" s="6"/>
      <c r="AW58" s="6"/>
      <c r="AX58" s="6"/>
      <c r="AY58" s="6"/>
      <c r="AZ58" s="6"/>
      <c r="BA58" s="6"/>
      <c r="BB58" s="6"/>
      <c r="BC58" s="6"/>
      <c r="BD58" s="6"/>
      <c r="BE58" s="6"/>
      <c r="BF58" s="6"/>
      <c r="BG58" s="6"/>
      <c r="BH58" s="6"/>
      <c r="BI58" s="6"/>
      <c r="BJ58" s="6"/>
      <c r="BK58" s="6"/>
      <c r="BL58" s="6"/>
      <c r="BM58" s="6"/>
      <c r="BN58" s="6"/>
      <c r="BO58" s="6"/>
      <c r="BP58" s="6"/>
      <c r="BQ58" s="6"/>
      <c r="BR58" s="6"/>
      <c r="BS58" s="6"/>
      <c r="BT58" s="6"/>
      <c r="BU58" s="6"/>
      <c r="BV58" s="6"/>
      <c r="BW58" s="6"/>
      <c r="BX58" s="6"/>
      <c r="BY58" s="6"/>
      <c r="BZ58" s="6"/>
      <c r="CA58" s="6"/>
      <c r="CB58" s="6"/>
      <c r="CC58" s="6"/>
      <c r="CD58" s="6"/>
      <c r="CE58" s="6"/>
      <c r="CF58" s="6"/>
      <c r="CG58" s="6"/>
      <c r="CH58" s="6"/>
      <c r="CI58" s="6"/>
      <c r="CJ58" s="6"/>
      <c r="CK58" s="6"/>
      <c r="CL58" s="6"/>
      <c r="CM58" s="6"/>
      <c r="CN58" s="6"/>
      <c r="CO58" s="6"/>
      <c r="CP58" s="6"/>
      <c r="CQ58" s="6"/>
      <c r="CR58" s="6"/>
      <c r="CS58" s="6"/>
      <c r="CT58" s="6"/>
      <c r="CU58" s="6"/>
      <c r="CV58" s="6"/>
      <c r="CW58" s="6"/>
      <c r="CX58" s="6"/>
      <c r="CY58" s="6"/>
      <c r="CZ58" s="6"/>
      <c r="DA58" s="6"/>
      <c r="DB58" s="6"/>
      <c r="DC58" s="6"/>
      <c r="DD58" s="6"/>
      <c r="DE58" s="6"/>
      <c r="DF58" s="6"/>
      <c r="DG58" s="6"/>
      <c r="DH58" s="6"/>
      <c r="DI58" s="6"/>
      <c r="DJ58" s="6"/>
      <c r="DK58" s="6"/>
      <c r="DL58" s="6"/>
      <c r="DM58" s="6"/>
      <c r="DN58" s="6"/>
      <c r="DO58" s="6"/>
      <c r="DP58" s="6"/>
      <c r="DQ58" s="6"/>
      <c r="DR58" s="6"/>
      <c r="DS58" s="6"/>
      <c r="DT58" s="6"/>
      <c r="DU58" s="6"/>
      <c r="DV58" s="6"/>
      <c r="DW58" s="6"/>
      <c r="DX58" s="6"/>
      <c r="DY58" s="6"/>
      <c r="DZ58" s="6"/>
      <c r="EA58" s="6"/>
      <c r="EB58" s="6"/>
      <c r="EC58" s="6"/>
      <c r="ED58" s="6"/>
      <c r="EE58" s="6"/>
      <c r="EF58" s="6"/>
      <c r="EG58" s="6"/>
      <c r="EH58" s="6"/>
      <c r="EI58" s="6"/>
      <c r="EJ58" s="6"/>
      <c r="EK58" s="6"/>
      <c r="EL58" s="6"/>
      <c r="EM58" s="6"/>
      <c r="EN58" s="6"/>
      <c r="EO58" s="6"/>
      <c r="EP58" s="6"/>
      <c r="EQ58" s="6"/>
      <c r="ER58" s="6"/>
      <c r="ES58" s="6"/>
      <c r="ET58" s="6"/>
      <c r="EU58" s="6"/>
      <c r="EV58" s="6"/>
      <c r="EW58" s="6"/>
      <c r="EX58" s="6"/>
      <c r="EY58" s="6"/>
      <c r="EZ58" s="6"/>
      <c r="FA58" s="6"/>
      <c r="FB58" s="6"/>
      <c r="FC58" s="6"/>
      <c r="FD58" s="6"/>
      <c r="FE58" s="6"/>
      <c r="FF58" s="6"/>
      <c r="FG58" s="6"/>
      <c r="FH58" s="6"/>
      <c r="FI58" s="6"/>
      <c r="FJ58" s="6"/>
      <c r="FK58" s="6"/>
      <c r="FL58" s="6"/>
      <c r="FM58" s="6"/>
    </row>
    <row r="59" spans="1:169" x14ac:dyDescent="0.3">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c r="AI59" s="6"/>
      <c r="AJ59" s="6"/>
      <c r="AK59" s="6"/>
      <c r="AL59" s="6"/>
      <c r="AM59" s="6"/>
      <c r="AN59" s="6"/>
      <c r="AO59" s="6"/>
      <c r="AP59" s="6"/>
      <c r="AQ59" s="6"/>
      <c r="AR59" s="6"/>
      <c r="AS59" s="6"/>
      <c r="AT59" s="6"/>
      <c r="AU59" s="6"/>
      <c r="AV59" s="6"/>
      <c r="AW59" s="6"/>
      <c r="AX59" s="6"/>
      <c r="AY59" s="6"/>
      <c r="AZ59" s="6"/>
      <c r="BA59" s="6"/>
      <c r="BB59" s="6"/>
      <c r="BC59" s="6"/>
      <c r="BD59" s="6"/>
      <c r="BE59" s="6"/>
      <c r="BF59" s="6"/>
      <c r="BG59" s="6"/>
      <c r="BH59" s="6"/>
      <c r="BI59" s="6"/>
      <c r="BJ59" s="6"/>
      <c r="BK59" s="6"/>
      <c r="BL59" s="6"/>
      <c r="BM59" s="6"/>
      <c r="BN59" s="6"/>
      <c r="BO59" s="6"/>
      <c r="BP59" s="6"/>
      <c r="BQ59" s="6"/>
      <c r="BR59" s="6"/>
      <c r="BS59" s="6"/>
      <c r="BT59" s="6"/>
      <c r="BU59" s="6"/>
      <c r="BV59" s="6"/>
      <c r="BW59" s="6"/>
      <c r="BX59" s="6"/>
      <c r="BY59" s="6"/>
      <c r="BZ59" s="6"/>
      <c r="CA59" s="6"/>
      <c r="CB59" s="6"/>
      <c r="CC59" s="6"/>
      <c r="CD59" s="6"/>
      <c r="CE59" s="6"/>
      <c r="CF59" s="6"/>
      <c r="CG59" s="6"/>
      <c r="CH59" s="6"/>
      <c r="CI59" s="6"/>
      <c r="CJ59" s="6"/>
      <c r="CK59" s="6"/>
      <c r="CL59" s="6"/>
      <c r="CM59" s="6"/>
      <c r="CN59" s="6"/>
      <c r="CO59" s="6"/>
      <c r="CP59" s="6"/>
      <c r="CQ59" s="6"/>
      <c r="CR59" s="6"/>
      <c r="CS59" s="6"/>
      <c r="CT59" s="6"/>
      <c r="CU59" s="6"/>
      <c r="CV59" s="6"/>
      <c r="CW59" s="6"/>
      <c r="CX59" s="6"/>
      <c r="CY59" s="6"/>
      <c r="CZ59" s="6"/>
      <c r="DA59" s="6"/>
      <c r="DB59" s="6"/>
      <c r="DC59" s="6"/>
      <c r="DD59" s="6"/>
      <c r="DE59" s="6"/>
      <c r="DF59" s="6"/>
      <c r="DG59" s="6"/>
      <c r="DH59" s="6"/>
      <c r="DI59" s="6"/>
      <c r="DJ59" s="6"/>
      <c r="DK59" s="6"/>
      <c r="DL59" s="6"/>
      <c r="DM59" s="6"/>
      <c r="DN59" s="6"/>
      <c r="DO59" s="6"/>
      <c r="DP59" s="6"/>
      <c r="DQ59" s="6"/>
      <c r="DR59" s="6"/>
      <c r="DS59" s="6"/>
      <c r="DT59" s="6"/>
      <c r="DU59" s="6"/>
      <c r="DV59" s="6"/>
      <c r="DW59" s="6"/>
      <c r="DX59" s="6"/>
      <c r="DY59" s="6"/>
      <c r="DZ59" s="6"/>
      <c r="EA59" s="6"/>
      <c r="EB59" s="6"/>
      <c r="EC59" s="6"/>
      <c r="ED59" s="6"/>
      <c r="EE59" s="6"/>
      <c r="EF59" s="6"/>
      <c r="EG59" s="6"/>
      <c r="EH59" s="6"/>
      <c r="EI59" s="6"/>
      <c r="EJ59" s="6"/>
      <c r="EK59" s="6"/>
      <c r="EL59" s="6"/>
      <c r="EM59" s="6"/>
      <c r="EN59" s="6"/>
      <c r="EO59" s="6"/>
      <c r="EP59" s="6"/>
      <c r="EQ59" s="6"/>
      <c r="ER59" s="6"/>
      <c r="ES59" s="6"/>
      <c r="ET59" s="6"/>
      <c r="EU59" s="6"/>
      <c r="EV59" s="6"/>
      <c r="EW59" s="6"/>
      <c r="EX59" s="6"/>
      <c r="EY59" s="6"/>
      <c r="EZ59" s="6"/>
      <c r="FA59" s="6"/>
      <c r="FB59" s="6"/>
      <c r="FC59" s="6"/>
      <c r="FD59" s="6"/>
      <c r="FE59" s="6"/>
      <c r="FF59" s="6"/>
      <c r="FG59" s="6"/>
      <c r="FH59" s="6"/>
      <c r="FI59" s="6"/>
      <c r="FJ59" s="6"/>
      <c r="FK59" s="6"/>
      <c r="FL59" s="6"/>
      <c r="FM59" s="6"/>
    </row>
    <row r="60" spans="1:169" x14ac:dyDescent="0.3">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c r="AI60" s="6"/>
      <c r="AJ60" s="6"/>
      <c r="AK60" s="6"/>
      <c r="AL60" s="6"/>
      <c r="AM60" s="6"/>
      <c r="AN60" s="6"/>
      <c r="AO60" s="6"/>
      <c r="AP60" s="6"/>
      <c r="AQ60" s="6"/>
      <c r="AR60" s="6"/>
      <c r="AS60" s="6"/>
      <c r="AT60" s="6"/>
      <c r="AU60" s="6"/>
      <c r="AV60" s="6"/>
      <c r="AW60" s="6"/>
      <c r="AX60" s="6"/>
      <c r="AY60" s="6"/>
      <c r="AZ60" s="6"/>
      <c r="BA60" s="6"/>
      <c r="BB60" s="6"/>
      <c r="BC60" s="6"/>
      <c r="BD60" s="6"/>
      <c r="BE60" s="6"/>
      <c r="BF60" s="6"/>
      <c r="BG60" s="6"/>
      <c r="BH60" s="6"/>
      <c r="BI60" s="6"/>
      <c r="BJ60" s="6"/>
      <c r="BK60" s="6"/>
      <c r="BL60" s="6"/>
      <c r="BM60" s="6"/>
      <c r="BN60" s="6"/>
      <c r="BO60" s="6"/>
      <c r="BP60" s="6"/>
      <c r="BQ60" s="6"/>
      <c r="BR60" s="6"/>
      <c r="BS60" s="6"/>
      <c r="BT60" s="6"/>
      <c r="BU60" s="6"/>
      <c r="BV60" s="6"/>
      <c r="BW60" s="6"/>
      <c r="BX60" s="6"/>
      <c r="BY60" s="6"/>
      <c r="BZ60" s="6"/>
      <c r="CA60" s="6"/>
      <c r="CB60" s="6"/>
      <c r="CC60" s="6"/>
      <c r="CD60" s="6"/>
      <c r="CE60" s="6"/>
      <c r="CF60" s="6"/>
      <c r="CG60" s="6"/>
      <c r="CH60" s="6"/>
      <c r="CI60" s="6"/>
      <c r="CJ60" s="6"/>
      <c r="CK60" s="6"/>
      <c r="CL60" s="6"/>
      <c r="CM60" s="6"/>
      <c r="CN60" s="6"/>
      <c r="CO60" s="6"/>
      <c r="CP60" s="6"/>
      <c r="CQ60" s="6"/>
      <c r="CR60" s="6"/>
      <c r="CS60" s="6"/>
      <c r="CT60" s="6"/>
      <c r="CU60" s="6"/>
      <c r="CV60" s="6"/>
      <c r="CW60" s="6"/>
      <c r="CX60" s="6"/>
      <c r="CY60" s="6"/>
      <c r="CZ60" s="6"/>
      <c r="DA60" s="6"/>
      <c r="DB60" s="6"/>
      <c r="DC60" s="6"/>
      <c r="DD60" s="6"/>
      <c r="DE60" s="6"/>
      <c r="DF60" s="6"/>
      <c r="DG60" s="6"/>
      <c r="DH60" s="6"/>
      <c r="DI60" s="6"/>
      <c r="DJ60" s="6"/>
      <c r="DK60" s="6"/>
      <c r="DL60" s="6"/>
      <c r="DM60" s="6"/>
      <c r="DN60" s="6"/>
      <c r="DO60" s="6"/>
      <c r="DP60" s="6"/>
      <c r="DQ60" s="6"/>
      <c r="DR60" s="6"/>
      <c r="DS60" s="6"/>
      <c r="DT60" s="6"/>
      <c r="DU60" s="6"/>
      <c r="DV60" s="6"/>
      <c r="DW60" s="6"/>
      <c r="DX60" s="6"/>
      <c r="DY60" s="6"/>
      <c r="DZ60" s="6"/>
      <c r="EA60" s="6"/>
      <c r="EB60" s="6"/>
      <c r="EC60" s="6"/>
      <c r="ED60" s="6"/>
      <c r="EE60" s="6"/>
      <c r="EF60" s="6"/>
      <c r="EG60" s="6"/>
      <c r="EH60" s="6"/>
      <c r="EI60" s="6"/>
      <c r="EJ60" s="6"/>
      <c r="EK60" s="6"/>
      <c r="EL60" s="6"/>
      <c r="EM60" s="6"/>
      <c r="EN60" s="6"/>
      <c r="EO60" s="6"/>
      <c r="EP60" s="6"/>
      <c r="EQ60" s="6"/>
      <c r="ER60" s="6"/>
      <c r="ES60" s="6"/>
      <c r="ET60" s="6"/>
      <c r="EU60" s="6"/>
      <c r="EV60" s="6"/>
      <c r="EW60" s="6"/>
      <c r="EX60" s="6"/>
      <c r="EY60" s="6"/>
      <c r="EZ60" s="6"/>
      <c r="FA60" s="6"/>
      <c r="FB60" s="6"/>
      <c r="FC60" s="6"/>
      <c r="FD60" s="6"/>
      <c r="FE60" s="6"/>
      <c r="FF60" s="6"/>
      <c r="FG60" s="6"/>
      <c r="FH60" s="6"/>
      <c r="FI60" s="6"/>
      <c r="FJ60" s="6"/>
      <c r="FK60" s="6"/>
      <c r="FL60" s="6"/>
      <c r="FM60" s="6"/>
    </row>
    <row r="61" spans="1:169" x14ac:dyDescent="0.3">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c r="AI61" s="6"/>
      <c r="AJ61" s="6"/>
      <c r="AK61" s="6"/>
      <c r="AL61" s="6"/>
      <c r="AM61" s="6"/>
      <c r="AN61" s="6"/>
      <c r="AO61" s="6"/>
      <c r="AP61" s="6"/>
      <c r="AQ61" s="6"/>
      <c r="AR61" s="6"/>
      <c r="AS61" s="6"/>
      <c r="AT61" s="6"/>
      <c r="AU61" s="6"/>
      <c r="AV61" s="6"/>
      <c r="AW61" s="6"/>
      <c r="AX61" s="6"/>
      <c r="AY61" s="6"/>
      <c r="AZ61" s="6"/>
      <c r="BA61" s="6"/>
      <c r="BB61" s="6"/>
      <c r="BC61" s="6"/>
      <c r="BD61" s="6"/>
      <c r="BE61" s="6"/>
      <c r="BF61" s="6"/>
      <c r="BG61" s="6"/>
      <c r="BH61" s="6"/>
      <c r="BI61" s="6"/>
      <c r="BJ61" s="6"/>
      <c r="BK61" s="6"/>
      <c r="BL61" s="6"/>
      <c r="BM61" s="6"/>
      <c r="BN61" s="6"/>
      <c r="BO61" s="6"/>
      <c r="BP61" s="6"/>
      <c r="BQ61" s="6"/>
      <c r="BR61" s="6"/>
      <c r="BS61" s="6"/>
      <c r="BT61" s="6"/>
      <c r="BU61" s="6"/>
      <c r="BV61" s="6"/>
      <c r="BW61" s="6"/>
      <c r="BX61" s="6"/>
      <c r="BY61" s="6"/>
      <c r="BZ61" s="6"/>
      <c r="CA61" s="6"/>
      <c r="CB61" s="6"/>
      <c r="CC61" s="6"/>
      <c r="CD61" s="6"/>
      <c r="CE61" s="6"/>
      <c r="CF61" s="6"/>
      <c r="CG61" s="6"/>
      <c r="CH61" s="6"/>
      <c r="CI61" s="6"/>
      <c r="CJ61" s="6"/>
      <c r="CK61" s="6"/>
      <c r="CL61" s="6"/>
      <c r="CM61" s="6"/>
      <c r="CN61" s="6"/>
      <c r="CO61" s="6"/>
      <c r="CP61" s="6"/>
      <c r="CQ61" s="6"/>
      <c r="CR61" s="6"/>
      <c r="CS61" s="6"/>
      <c r="CT61" s="6"/>
      <c r="CU61" s="6"/>
      <c r="CV61" s="6"/>
      <c r="CW61" s="6"/>
      <c r="CX61" s="6"/>
      <c r="CY61" s="6"/>
      <c r="CZ61" s="6"/>
      <c r="DA61" s="6"/>
      <c r="DB61" s="6"/>
      <c r="DC61" s="6"/>
      <c r="DD61" s="6"/>
      <c r="DE61" s="6"/>
      <c r="DF61" s="6"/>
      <c r="DG61" s="6"/>
      <c r="DH61" s="6"/>
      <c r="DI61" s="6"/>
      <c r="DJ61" s="6"/>
      <c r="DK61" s="6"/>
      <c r="DL61" s="6"/>
      <c r="DM61" s="6"/>
      <c r="DN61" s="6"/>
      <c r="DO61" s="6"/>
      <c r="DP61" s="6"/>
      <c r="DQ61" s="6"/>
      <c r="DR61" s="6"/>
      <c r="DS61" s="6"/>
      <c r="DT61" s="6"/>
      <c r="DU61" s="6"/>
      <c r="DV61" s="6"/>
      <c r="DW61" s="6"/>
      <c r="DX61" s="6"/>
      <c r="DY61" s="6"/>
      <c r="DZ61" s="6"/>
      <c r="EA61" s="6"/>
      <c r="EB61" s="6"/>
      <c r="EC61" s="6"/>
      <c r="ED61" s="6"/>
      <c r="EE61" s="6"/>
      <c r="EF61" s="6"/>
      <c r="EG61" s="6"/>
      <c r="EH61" s="6"/>
      <c r="EI61" s="6"/>
      <c r="EJ61" s="6"/>
      <c r="EK61" s="6"/>
      <c r="EL61" s="6"/>
      <c r="EM61" s="6"/>
      <c r="EN61" s="6"/>
      <c r="EO61" s="6"/>
      <c r="EP61" s="6"/>
      <c r="EQ61" s="6"/>
      <c r="ER61" s="6"/>
      <c r="ES61" s="6"/>
      <c r="ET61" s="6"/>
      <c r="EU61" s="6"/>
      <c r="EV61" s="6"/>
      <c r="EW61" s="6"/>
      <c r="EX61" s="6"/>
      <c r="EY61" s="6"/>
      <c r="EZ61" s="6"/>
      <c r="FA61" s="6"/>
      <c r="FB61" s="6"/>
      <c r="FC61" s="6"/>
      <c r="FD61" s="6"/>
      <c r="FE61" s="6"/>
      <c r="FF61" s="6"/>
      <c r="FG61" s="6"/>
      <c r="FH61" s="6"/>
      <c r="FI61" s="6"/>
      <c r="FJ61" s="6"/>
      <c r="FK61" s="6"/>
      <c r="FL61" s="6"/>
      <c r="FM61" s="6"/>
    </row>
    <row r="62" spans="1:169" x14ac:dyDescent="0.3">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c r="AI62" s="6"/>
      <c r="AJ62" s="6"/>
      <c r="AK62" s="6"/>
      <c r="AL62" s="6"/>
      <c r="AM62" s="6"/>
      <c r="AN62" s="6"/>
      <c r="AO62" s="6"/>
      <c r="AP62" s="6"/>
      <c r="AQ62" s="6"/>
      <c r="AR62" s="6"/>
      <c r="AS62" s="6"/>
      <c r="AT62" s="6"/>
      <c r="AU62" s="6"/>
      <c r="AV62" s="6"/>
      <c r="AW62" s="6"/>
      <c r="AX62" s="6"/>
      <c r="AY62" s="6"/>
      <c r="AZ62" s="6"/>
      <c r="BA62" s="6"/>
      <c r="BB62" s="6"/>
      <c r="BC62" s="6"/>
      <c r="BD62" s="6"/>
      <c r="BE62" s="6"/>
      <c r="BF62" s="6"/>
      <c r="BG62" s="6"/>
      <c r="BH62" s="6"/>
      <c r="BI62" s="6"/>
      <c r="BJ62" s="6"/>
      <c r="BK62" s="6"/>
      <c r="BL62" s="6"/>
      <c r="BM62" s="6"/>
      <c r="BN62" s="6"/>
      <c r="BO62" s="6"/>
      <c r="BP62" s="6"/>
      <c r="BQ62" s="6"/>
      <c r="BR62" s="6"/>
      <c r="BS62" s="6"/>
      <c r="BT62" s="6"/>
      <c r="BU62" s="6"/>
      <c r="BV62" s="6"/>
      <c r="BW62" s="6"/>
      <c r="BX62" s="6"/>
      <c r="BY62" s="6"/>
      <c r="BZ62" s="6"/>
      <c r="CA62" s="6"/>
      <c r="CB62" s="6"/>
      <c r="CC62" s="6"/>
      <c r="CD62" s="6"/>
      <c r="CE62" s="6"/>
      <c r="CF62" s="6"/>
      <c r="CG62" s="6"/>
      <c r="CH62" s="6"/>
      <c r="CI62" s="6"/>
      <c r="CJ62" s="6"/>
      <c r="CK62" s="6"/>
      <c r="CL62" s="6"/>
      <c r="CM62" s="6"/>
      <c r="CN62" s="6"/>
      <c r="CO62" s="6"/>
      <c r="CP62" s="6"/>
      <c r="CQ62" s="6"/>
      <c r="CR62" s="6"/>
      <c r="CS62" s="6"/>
      <c r="CT62" s="6"/>
      <c r="CU62" s="6"/>
      <c r="CV62" s="6"/>
      <c r="CW62" s="6"/>
      <c r="CX62" s="6"/>
      <c r="CY62" s="6"/>
      <c r="CZ62" s="6"/>
      <c r="DA62" s="6"/>
      <c r="DB62" s="6"/>
      <c r="DC62" s="6"/>
      <c r="DD62" s="6"/>
      <c r="DE62" s="6"/>
      <c r="DF62" s="6"/>
      <c r="DG62" s="6"/>
      <c r="DH62" s="6"/>
      <c r="DI62" s="6"/>
      <c r="DJ62" s="6"/>
      <c r="DK62" s="6"/>
      <c r="DL62" s="6"/>
      <c r="DM62" s="6"/>
      <c r="DN62" s="6"/>
      <c r="DO62" s="6"/>
      <c r="DP62" s="6"/>
      <c r="DQ62" s="6"/>
      <c r="DR62" s="6"/>
      <c r="DS62" s="6"/>
      <c r="DT62" s="6"/>
      <c r="DU62" s="6"/>
      <c r="DV62" s="6"/>
      <c r="DW62" s="6"/>
      <c r="DX62" s="6"/>
      <c r="DY62" s="6"/>
      <c r="DZ62" s="6"/>
      <c r="EA62" s="6"/>
      <c r="EB62" s="6"/>
      <c r="EC62" s="6"/>
      <c r="ED62" s="6"/>
      <c r="EE62" s="6"/>
      <c r="EF62" s="6"/>
      <c r="EG62" s="6"/>
      <c r="EH62" s="6"/>
      <c r="EI62" s="6"/>
      <c r="EJ62" s="6"/>
      <c r="EK62" s="6"/>
      <c r="EL62" s="6"/>
      <c r="EM62" s="6"/>
      <c r="EN62" s="6"/>
      <c r="EO62" s="6"/>
      <c r="EP62" s="6"/>
      <c r="EQ62" s="6"/>
      <c r="ER62" s="6"/>
      <c r="ES62" s="6"/>
      <c r="ET62" s="6"/>
      <c r="EU62" s="6"/>
      <c r="EV62" s="6"/>
      <c r="EW62" s="6"/>
      <c r="EX62" s="6"/>
      <c r="EY62" s="6"/>
      <c r="EZ62" s="6"/>
      <c r="FA62" s="6"/>
      <c r="FB62" s="6"/>
      <c r="FC62" s="6"/>
      <c r="FD62" s="6"/>
      <c r="FE62" s="6"/>
      <c r="FF62" s="6"/>
      <c r="FG62" s="6"/>
      <c r="FH62" s="6"/>
      <c r="FI62" s="6"/>
      <c r="FJ62" s="6"/>
      <c r="FK62" s="6"/>
      <c r="FL62" s="6"/>
      <c r="FM62" s="6"/>
    </row>
    <row r="63" spans="1:169" x14ac:dyDescent="0.3">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c r="AI63" s="6"/>
      <c r="AJ63" s="6"/>
      <c r="AK63" s="6"/>
      <c r="AL63" s="6"/>
      <c r="AM63" s="6"/>
      <c r="AN63" s="6"/>
      <c r="AO63" s="6"/>
      <c r="AP63" s="6"/>
      <c r="AQ63" s="6"/>
      <c r="AR63" s="6"/>
      <c r="AS63" s="6"/>
      <c r="AT63" s="6"/>
      <c r="AU63" s="6"/>
      <c r="AV63" s="6"/>
      <c r="AW63" s="6"/>
      <c r="AX63" s="6"/>
      <c r="AY63" s="6"/>
      <c r="AZ63" s="6"/>
      <c r="BA63" s="6"/>
      <c r="BB63" s="6"/>
      <c r="BC63" s="6"/>
      <c r="BD63" s="6"/>
      <c r="BE63" s="6"/>
      <c r="BF63" s="6"/>
      <c r="BG63" s="6"/>
      <c r="BH63" s="6"/>
      <c r="BI63" s="6"/>
      <c r="BJ63" s="6"/>
      <c r="BK63" s="6"/>
      <c r="BL63" s="6"/>
      <c r="BM63" s="6"/>
      <c r="BN63" s="6"/>
      <c r="BO63" s="6"/>
      <c r="BP63" s="6"/>
      <c r="BQ63" s="6"/>
      <c r="BR63" s="6"/>
      <c r="BS63" s="6"/>
      <c r="BT63" s="6"/>
      <c r="BU63" s="6"/>
      <c r="BV63" s="6"/>
      <c r="BW63" s="6"/>
      <c r="BX63" s="6"/>
      <c r="BY63" s="6"/>
      <c r="BZ63" s="6"/>
      <c r="CA63" s="6"/>
      <c r="CB63" s="6"/>
      <c r="CC63" s="6"/>
      <c r="CD63" s="6"/>
      <c r="CE63" s="6"/>
      <c r="CF63" s="6"/>
      <c r="CG63" s="6"/>
      <c r="CH63" s="6"/>
      <c r="CI63" s="6"/>
      <c r="CJ63" s="6"/>
      <c r="CK63" s="6"/>
      <c r="CL63" s="6"/>
      <c r="CM63" s="6"/>
      <c r="CN63" s="6"/>
      <c r="CO63" s="6"/>
      <c r="CP63" s="6"/>
      <c r="CQ63" s="6"/>
      <c r="CR63" s="6"/>
      <c r="CS63" s="6"/>
      <c r="CT63" s="6"/>
      <c r="CU63" s="6"/>
      <c r="CV63" s="6"/>
      <c r="CW63" s="6"/>
      <c r="CX63" s="6"/>
      <c r="CY63" s="6"/>
      <c r="CZ63" s="6"/>
      <c r="DA63" s="6"/>
      <c r="DB63" s="6"/>
      <c r="DC63" s="6"/>
      <c r="DD63" s="6"/>
      <c r="DE63" s="6"/>
      <c r="DF63" s="6"/>
      <c r="DG63" s="6"/>
      <c r="DH63" s="6"/>
      <c r="DI63" s="6"/>
      <c r="DJ63" s="6"/>
      <c r="DK63" s="6"/>
      <c r="DL63" s="6"/>
      <c r="DM63" s="6"/>
      <c r="DN63" s="6"/>
      <c r="DO63" s="6"/>
      <c r="DP63" s="6"/>
      <c r="DQ63" s="6"/>
      <c r="DR63" s="6"/>
      <c r="DS63" s="6"/>
      <c r="DT63" s="6"/>
      <c r="DU63" s="6"/>
      <c r="DV63" s="6"/>
      <c r="DW63" s="6"/>
      <c r="DX63" s="6"/>
      <c r="DY63" s="6"/>
      <c r="DZ63" s="6"/>
      <c r="EA63" s="6"/>
      <c r="EB63" s="6"/>
      <c r="EC63" s="6"/>
      <c r="ED63" s="6"/>
      <c r="EE63" s="6"/>
      <c r="EF63" s="6"/>
      <c r="EG63" s="6"/>
      <c r="EH63" s="6"/>
      <c r="EI63" s="6"/>
      <c r="EJ63" s="6"/>
      <c r="EK63" s="6"/>
      <c r="EL63" s="6"/>
      <c r="EM63" s="6"/>
      <c r="EN63" s="6"/>
      <c r="EO63" s="6"/>
      <c r="EP63" s="6"/>
      <c r="EQ63" s="6"/>
      <c r="ER63" s="6"/>
      <c r="ES63" s="6"/>
      <c r="ET63" s="6"/>
      <c r="EU63" s="6"/>
      <c r="EV63" s="6"/>
      <c r="EW63" s="6"/>
      <c r="EX63" s="6"/>
      <c r="EY63" s="6"/>
      <c r="EZ63" s="6"/>
      <c r="FA63" s="6"/>
      <c r="FB63" s="6"/>
      <c r="FC63" s="6"/>
      <c r="FD63" s="6"/>
      <c r="FE63" s="6"/>
      <c r="FF63" s="6"/>
      <c r="FG63" s="6"/>
      <c r="FH63" s="6"/>
      <c r="FI63" s="6"/>
      <c r="FJ63" s="6"/>
      <c r="FK63" s="6"/>
      <c r="FL63" s="6"/>
      <c r="FM63" s="6"/>
    </row>
    <row r="64" spans="1:169" x14ac:dyDescent="0.3">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c r="AI64" s="6"/>
      <c r="AJ64" s="6"/>
      <c r="AK64" s="6"/>
      <c r="AL64" s="6"/>
      <c r="AM64" s="6"/>
      <c r="AN64" s="6"/>
      <c r="AO64" s="6"/>
      <c r="AP64" s="6"/>
      <c r="AQ64" s="6"/>
      <c r="AR64" s="6"/>
      <c r="AS64" s="6"/>
      <c r="AT64" s="6"/>
      <c r="AU64" s="6"/>
      <c r="AV64" s="6"/>
      <c r="AW64" s="6"/>
      <c r="AX64" s="6"/>
      <c r="AY64" s="6"/>
      <c r="AZ64" s="6"/>
      <c r="BA64" s="6"/>
      <c r="BB64" s="6"/>
      <c r="BC64" s="6"/>
      <c r="BD64" s="6"/>
      <c r="BE64" s="6"/>
      <c r="BF64" s="6"/>
      <c r="BG64" s="6"/>
      <c r="BH64" s="6"/>
      <c r="BI64" s="6"/>
      <c r="BJ64" s="6"/>
      <c r="BK64" s="6"/>
      <c r="BL64" s="6"/>
      <c r="BM64" s="6"/>
      <c r="BN64" s="6"/>
      <c r="BO64" s="6"/>
      <c r="BP64" s="6"/>
      <c r="BQ64" s="6"/>
      <c r="BR64" s="6"/>
      <c r="BS64" s="6"/>
      <c r="BT64" s="6"/>
      <c r="BU64" s="6"/>
      <c r="BV64" s="6"/>
      <c r="BW64" s="6"/>
      <c r="BX64" s="6"/>
      <c r="BY64" s="6"/>
      <c r="BZ64" s="6"/>
      <c r="CA64" s="6"/>
      <c r="CB64" s="6"/>
      <c r="CC64" s="6"/>
      <c r="CD64" s="6"/>
      <c r="CE64" s="6"/>
      <c r="CF64" s="6"/>
      <c r="CG64" s="6"/>
      <c r="CH64" s="6"/>
      <c r="CI64" s="6"/>
      <c r="CJ64" s="6"/>
      <c r="CK64" s="6"/>
      <c r="CL64" s="6"/>
      <c r="CM64" s="6"/>
      <c r="CN64" s="6"/>
      <c r="CO64" s="6"/>
      <c r="CP64" s="6"/>
      <c r="CQ64" s="6"/>
      <c r="CR64" s="6"/>
      <c r="CS64" s="6"/>
      <c r="CT64" s="6"/>
      <c r="CU64" s="6"/>
      <c r="CV64" s="6"/>
      <c r="CW64" s="6"/>
      <c r="CX64" s="6"/>
      <c r="CY64" s="6"/>
      <c r="CZ64" s="6"/>
      <c r="DA64" s="6"/>
      <c r="DB64" s="6"/>
      <c r="DC64" s="6"/>
      <c r="DD64" s="6"/>
      <c r="DE64" s="6"/>
      <c r="DF64" s="6"/>
      <c r="DG64" s="6"/>
      <c r="DH64" s="6"/>
      <c r="DI64" s="6"/>
      <c r="DJ64" s="6"/>
      <c r="DK64" s="6"/>
      <c r="DL64" s="6"/>
      <c r="DM64" s="6"/>
      <c r="DN64" s="6"/>
      <c r="DO64" s="6"/>
      <c r="DP64" s="6"/>
      <c r="DQ64" s="6"/>
      <c r="DR64" s="6"/>
      <c r="DS64" s="6"/>
      <c r="DT64" s="6"/>
      <c r="DU64" s="6"/>
      <c r="DV64" s="6"/>
      <c r="DW64" s="6"/>
      <c r="DX64" s="6"/>
      <c r="DY64" s="6"/>
      <c r="DZ64" s="6"/>
      <c r="EA64" s="6"/>
      <c r="EB64" s="6"/>
      <c r="EC64" s="6"/>
      <c r="ED64" s="6"/>
      <c r="EE64" s="6"/>
      <c r="EF64" s="6"/>
      <c r="EG64" s="6"/>
      <c r="EH64" s="6"/>
      <c r="EI64" s="6"/>
      <c r="EJ64" s="6"/>
      <c r="EK64" s="6"/>
      <c r="EL64" s="6"/>
      <c r="EM64" s="6"/>
      <c r="EN64" s="6"/>
      <c r="EO64" s="6"/>
      <c r="EP64" s="6"/>
      <c r="EQ64" s="6"/>
      <c r="ER64" s="6"/>
      <c r="ES64" s="6"/>
      <c r="ET64" s="6"/>
      <c r="EU64" s="6"/>
      <c r="EV64" s="6"/>
      <c r="EW64" s="6"/>
      <c r="EX64" s="6"/>
      <c r="EY64" s="6"/>
      <c r="EZ64" s="6"/>
      <c r="FA64" s="6"/>
      <c r="FB64" s="6"/>
      <c r="FC64" s="6"/>
      <c r="FD64" s="6"/>
      <c r="FE64" s="6"/>
      <c r="FF64" s="6"/>
      <c r="FG64" s="6"/>
      <c r="FH64" s="6"/>
      <c r="FI64" s="6"/>
      <c r="FJ64" s="6"/>
      <c r="FK64" s="6"/>
      <c r="FL64" s="6"/>
      <c r="FM64" s="6"/>
    </row>
    <row r="65" spans="1:169" x14ac:dyDescent="0.3">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c r="AI65" s="6"/>
      <c r="AJ65" s="6"/>
      <c r="AK65" s="6"/>
      <c r="AL65" s="6"/>
      <c r="AM65" s="6"/>
      <c r="AN65" s="6"/>
      <c r="AO65" s="6"/>
      <c r="AP65" s="6"/>
      <c r="AQ65" s="6"/>
      <c r="AR65" s="6"/>
      <c r="AS65" s="6"/>
      <c r="AT65" s="6"/>
      <c r="AU65" s="6"/>
      <c r="AV65" s="6"/>
      <c r="AW65" s="6"/>
      <c r="AX65" s="6"/>
      <c r="AY65" s="6"/>
      <c r="AZ65" s="6"/>
      <c r="BA65" s="6"/>
      <c r="BB65" s="6"/>
      <c r="BC65" s="6"/>
      <c r="BD65" s="6"/>
      <c r="BE65" s="6"/>
      <c r="BF65" s="6"/>
      <c r="BG65" s="6"/>
      <c r="BH65" s="6"/>
      <c r="BI65" s="6"/>
      <c r="BJ65" s="6"/>
      <c r="BK65" s="6"/>
      <c r="BL65" s="6"/>
      <c r="BM65" s="6"/>
      <c r="BN65" s="6"/>
      <c r="BO65" s="6"/>
      <c r="BP65" s="6"/>
      <c r="BQ65" s="6"/>
      <c r="BR65" s="6"/>
      <c r="BS65" s="6"/>
      <c r="BT65" s="6"/>
      <c r="BU65" s="6"/>
      <c r="BV65" s="6"/>
      <c r="BW65" s="6"/>
      <c r="BX65" s="6"/>
      <c r="BY65" s="6"/>
      <c r="BZ65" s="6"/>
      <c r="CA65" s="6"/>
      <c r="CB65" s="6"/>
      <c r="CC65" s="6"/>
      <c r="CD65" s="6"/>
      <c r="CE65" s="6"/>
      <c r="CF65" s="6"/>
      <c r="CG65" s="6"/>
      <c r="CH65" s="6"/>
      <c r="CI65" s="6"/>
      <c r="CJ65" s="6"/>
      <c r="CK65" s="6"/>
      <c r="CL65" s="6"/>
      <c r="CM65" s="6"/>
      <c r="CN65" s="6"/>
      <c r="CO65" s="6"/>
      <c r="CP65" s="6"/>
      <c r="CQ65" s="6"/>
      <c r="CR65" s="6"/>
      <c r="CS65" s="6"/>
      <c r="CT65" s="6"/>
      <c r="CU65" s="6"/>
      <c r="CV65" s="6"/>
      <c r="CW65" s="6"/>
      <c r="CX65" s="6"/>
      <c r="CY65" s="6"/>
      <c r="CZ65" s="6"/>
      <c r="DA65" s="6"/>
      <c r="DB65" s="6"/>
      <c r="DC65" s="6"/>
      <c r="DD65" s="6"/>
      <c r="DE65" s="6"/>
      <c r="DF65" s="6"/>
      <c r="DG65" s="6"/>
      <c r="DH65" s="6"/>
      <c r="DI65" s="6"/>
      <c r="DJ65" s="6"/>
      <c r="DK65" s="6"/>
      <c r="DL65" s="6"/>
      <c r="DM65" s="6"/>
      <c r="DN65" s="6"/>
      <c r="DO65" s="6"/>
      <c r="DP65" s="6"/>
      <c r="DQ65" s="6"/>
      <c r="DR65" s="6"/>
      <c r="DS65" s="6"/>
      <c r="DT65" s="6"/>
      <c r="DU65" s="6"/>
      <c r="DV65" s="6"/>
      <c r="DW65" s="6"/>
      <c r="DX65" s="6"/>
      <c r="DY65" s="6"/>
      <c r="DZ65" s="6"/>
      <c r="EA65" s="6"/>
      <c r="EB65" s="6"/>
      <c r="EC65" s="6"/>
      <c r="ED65" s="6"/>
      <c r="EE65" s="6"/>
      <c r="EF65" s="6"/>
      <c r="EG65" s="6"/>
      <c r="EH65" s="6"/>
      <c r="EI65" s="6"/>
      <c r="EJ65" s="6"/>
      <c r="EK65" s="6"/>
      <c r="EL65" s="6"/>
      <c r="EM65" s="6"/>
      <c r="EN65" s="6"/>
      <c r="EO65" s="6"/>
      <c r="EP65" s="6"/>
      <c r="EQ65" s="6"/>
      <c r="ER65" s="6"/>
      <c r="ES65" s="6"/>
      <c r="ET65" s="6"/>
      <c r="EU65" s="6"/>
      <c r="EV65" s="6"/>
      <c r="EW65" s="6"/>
      <c r="EX65" s="6"/>
      <c r="EY65" s="6"/>
      <c r="EZ65" s="6"/>
      <c r="FA65" s="6"/>
      <c r="FB65" s="6"/>
      <c r="FC65" s="6"/>
      <c r="FD65" s="6"/>
      <c r="FE65" s="6"/>
      <c r="FF65" s="6"/>
      <c r="FG65" s="6"/>
      <c r="FH65" s="6"/>
      <c r="FI65" s="6"/>
      <c r="FJ65" s="6"/>
      <c r="FK65" s="6"/>
      <c r="FL65" s="6"/>
      <c r="FM65" s="6"/>
    </row>
    <row r="66" spans="1:169" x14ac:dyDescent="0.3">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c r="AI66" s="6"/>
      <c r="AJ66" s="6"/>
      <c r="AK66" s="6"/>
      <c r="AL66" s="6"/>
      <c r="AM66" s="6"/>
      <c r="AN66" s="6"/>
      <c r="AO66" s="6"/>
      <c r="AP66" s="6"/>
      <c r="AQ66" s="6"/>
      <c r="AR66" s="6"/>
      <c r="AS66" s="6"/>
      <c r="AT66" s="6"/>
      <c r="AU66" s="6"/>
      <c r="AV66" s="6"/>
      <c r="AW66" s="6"/>
      <c r="AX66" s="6"/>
      <c r="AY66" s="6"/>
      <c r="AZ66" s="6"/>
      <c r="BA66" s="6"/>
      <c r="BB66" s="6"/>
      <c r="BC66" s="6"/>
      <c r="BD66" s="6"/>
      <c r="BE66" s="6"/>
      <c r="BF66" s="6"/>
      <c r="BG66" s="6"/>
      <c r="BH66" s="6"/>
      <c r="BI66" s="6"/>
      <c r="BJ66" s="6"/>
      <c r="BK66" s="6"/>
      <c r="BL66" s="6"/>
      <c r="BM66" s="6"/>
      <c r="BN66" s="6"/>
      <c r="BO66" s="6"/>
      <c r="BP66" s="6"/>
      <c r="BQ66" s="6"/>
      <c r="BR66" s="6"/>
      <c r="BS66" s="6"/>
      <c r="BT66" s="6"/>
      <c r="BU66" s="6"/>
      <c r="BV66" s="6"/>
      <c r="BW66" s="6"/>
      <c r="BX66" s="6"/>
      <c r="BY66" s="6"/>
      <c r="BZ66" s="6"/>
      <c r="CA66" s="6"/>
      <c r="CB66" s="6"/>
      <c r="CC66" s="6"/>
      <c r="CD66" s="6"/>
      <c r="CE66" s="6"/>
      <c r="CF66" s="6"/>
      <c r="CG66" s="6"/>
      <c r="CH66" s="6"/>
      <c r="CI66" s="6"/>
      <c r="CJ66" s="6"/>
      <c r="CK66" s="6"/>
      <c r="CL66" s="6"/>
      <c r="CM66" s="6"/>
      <c r="CN66" s="6"/>
      <c r="CO66" s="6"/>
      <c r="CP66" s="6"/>
      <c r="CQ66" s="6"/>
      <c r="CR66" s="6"/>
      <c r="CS66" s="6"/>
      <c r="CT66" s="6"/>
      <c r="CU66" s="6"/>
      <c r="CV66" s="6"/>
      <c r="CW66" s="6"/>
      <c r="CX66" s="6"/>
      <c r="CY66" s="6"/>
      <c r="CZ66" s="6"/>
      <c r="DA66" s="6"/>
      <c r="DB66" s="6"/>
      <c r="DC66" s="6"/>
      <c r="DD66" s="6"/>
      <c r="DE66" s="6"/>
      <c r="DF66" s="6"/>
      <c r="DG66" s="6"/>
      <c r="DH66" s="6"/>
      <c r="DI66" s="6"/>
      <c r="DJ66" s="6"/>
      <c r="DK66" s="6"/>
      <c r="DL66" s="6"/>
      <c r="DM66" s="6"/>
      <c r="DN66" s="6"/>
      <c r="DO66" s="6"/>
      <c r="DP66" s="6"/>
      <c r="DQ66" s="6"/>
      <c r="DR66" s="6"/>
      <c r="DS66" s="6"/>
      <c r="DT66" s="6"/>
      <c r="DU66" s="6"/>
      <c r="DV66" s="6"/>
      <c r="DW66" s="6"/>
      <c r="DX66" s="6"/>
      <c r="DY66" s="6"/>
      <c r="DZ66" s="6"/>
      <c r="EA66" s="6"/>
      <c r="EB66" s="6"/>
      <c r="EC66" s="6"/>
      <c r="ED66" s="6"/>
      <c r="EE66" s="6"/>
      <c r="EF66" s="6"/>
      <c r="EG66" s="6"/>
      <c r="EH66" s="6"/>
      <c r="EI66" s="6"/>
      <c r="EJ66" s="6"/>
      <c r="EK66" s="6"/>
      <c r="EL66" s="6"/>
      <c r="EM66" s="6"/>
      <c r="EN66" s="6"/>
      <c r="EO66" s="6"/>
      <c r="EP66" s="6"/>
      <c r="EQ66" s="6"/>
      <c r="ER66" s="6"/>
      <c r="ES66" s="6"/>
      <c r="ET66" s="6"/>
      <c r="EU66" s="6"/>
      <c r="EV66" s="6"/>
      <c r="EW66" s="6"/>
      <c r="EX66" s="6"/>
      <c r="EY66" s="6"/>
      <c r="EZ66" s="6"/>
      <c r="FA66" s="6"/>
      <c r="FB66" s="6"/>
      <c r="FC66" s="6"/>
      <c r="FD66" s="6"/>
      <c r="FE66" s="6"/>
      <c r="FF66" s="6"/>
      <c r="FG66" s="6"/>
      <c r="FH66" s="6"/>
      <c r="FI66" s="6"/>
      <c r="FJ66" s="6"/>
      <c r="FK66" s="6"/>
      <c r="FL66" s="6"/>
      <c r="FM66" s="6"/>
    </row>
    <row r="67" spans="1:169" x14ac:dyDescent="0.3">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c r="AI67" s="6"/>
      <c r="AJ67" s="6"/>
      <c r="AK67" s="6"/>
      <c r="AL67" s="6"/>
      <c r="AM67" s="6"/>
      <c r="AN67" s="6"/>
      <c r="AO67" s="6"/>
      <c r="AP67" s="6"/>
      <c r="AQ67" s="6"/>
      <c r="AR67" s="6"/>
      <c r="AS67" s="6"/>
      <c r="AT67" s="6"/>
      <c r="AU67" s="6"/>
      <c r="AV67" s="6"/>
      <c r="AW67" s="6"/>
      <c r="AX67" s="6"/>
      <c r="AY67" s="6"/>
      <c r="AZ67" s="6"/>
      <c r="BA67" s="6"/>
      <c r="BB67" s="6"/>
      <c r="BC67" s="6"/>
      <c r="BD67" s="6"/>
      <c r="BE67" s="6"/>
      <c r="BF67" s="6"/>
      <c r="BG67" s="6"/>
      <c r="BH67" s="6"/>
      <c r="BI67" s="6"/>
      <c r="BJ67" s="6"/>
      <c r="BK67" s="6"/>
      <c r="BL67" s="6"/>
      <c r="BM67" s="6"/>
      <c r="BN67" s="6"/>
      <c r="BO67" s="6"/>
      <c r="BP67" s="6"/>
      <c r="BQ67" s="6"/>
      <c r="BR67" s="6"/>
      <c r="BS67" s="6"/>
      <c r="BT67" s="6"/>
      <c r="BU67" s="6"/>
      <c r="BV67" s="6"/>
      <c r="BW67" s="6"/>
      <c r="BX67" s="6"/>
      <c r="BY67" s="6"/>
      <c r="BZ67" s="6"/>
      <c r="CA67" s="6"/>
      <c r="CB67" s="6"/>
      <c r="CC67" s="6"/>
      <c r="CD67" s="6"/>
      <c r="CE67" s="6"/>
      <c r="CF67" s="6"/>
      <c r="CG67" s="6"/>
      <c r="CH67" s="6"/>
      <c r="CI67" s="6"/>
      <c r="CJ67" s="6"/>
      <c r="CK67" s="6"/>
      <c r="CL67" s="6"/>
      <c r="CM67" s="6"/>
      <c r="CN67" s="6"/>
      <c r="CO67" s="6"/>
      <c r="CP67" s="6"/>
      <c r="CQ67" s="6"/>
      <c r="CR67" s="6"/>
      <c r="CS67" s="6"/>
      <c r="CT67" s="6"/>
      <c r="CU67" s="6"/>
      <c r="CV67" s="6"/>
      <c r="CW67" s="6"/>
      <c r="CX67" s="6"/>
      <c r="CY67" s="6"/>
      <c r="CZ67" s="6"/>
      <c r="DA67" s="6"/>
      <c r="DB67" s="6"/>
      <c r="DC67" s="6"/>
      <c r="DD67" s="6"/>
      <c r="DE67" s="6"/>
      <c r="DF67" s="6"/>
      <c r="DG67" s="6"/>
      <c r="DH67" s="6"/>
      <c r="DI67" s="6"/>
      <c r="DJ67" s="6"/>
      <c r="DK67" s="6"/>
      <c r="DL67" s="6"/>
      <c r="DM67" s="6"/>
      <c r="DN67" s="6"/>
      <c r="DO67" s="6"/>
      <c r="DP67" s="6"/>
      <c r="DQ67" s="6"/>
      <c r="DR67" s="6"/>
      <c r="DS67" s="6"/>
      <c r="DT67" s="6"/>
      <c r="DU67" s="6"/>
      <c r="DV67" s="6"/>
      <c r="DW67" s="6"/>
      <c r="DX67" s="6"/>
      <c r="DY67" s="6"/>
      <c r="DZ67" s="6"/>
      <c r="EA67" s="6"/>
      <c r="EB67" s="6"/>
      <c r="EC67" s="6"/>
      <c r="ED67" s="6"/>
      <c r="EE67" s="6"/>
      <c r="EF67" s="6"/>
      <c r="EG67" s="6"/>
      <c r="EH67" s="6"/>
      <c r="EI67" s="6"/>
      <c r="EJ67" s="6"/>
      <c r="EK67" s="6"/>
      <c r="EL67" s="6"/>
      <c r="EM67" s="6"/>
      <c r="EN67" s="6"/>
      <c r="EO67" s="6"/>
      <c r="EP67" s="6"/>
      <c r="EQ67" s="6"/>
      <c r="ER67" s="6"/>
      <c r="ES67" s="6"/>
      <c r="ET67" s="6"/>
      <c r="EU67" s="6"/>
      <c r="EV67" s="6"/>
      <c r="EW67" s="6"/>
      <c r="EX67" s="6"/>
      <c r="EY67" s="6"/>
      <c r="EZ67" s="6"/>
      <c r="FA67" s="6"/>
      <c r="FB67" s="6"/>
      <c r="FC67" s="6"/>
      <c r="FD67" s="6"/>
      <c r="FE67" s="6"/>
      <c r="FF67" s="6"/>
      <c r="FG67" s="6"/>
      <c r="FH67" s="6"/>
      <c r="FI67" s="6"/>
      <c r="FJ67" s="6"/>
      <c r="FK67" s="6"/>
      <c r="FL67" s="6"/>
      <c r="FM67" s="6"/>
    </row>
    <row r="68" spans="1:169" x14ac:dyDescent="0.3">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c r="AI68" s="6"/>
      <c r="AJ68" s="6"/>
      <c r="AK68" s="6"/>
      <c r="AL68" s="6"/>
      <c r="AM68" s="6"/>
      <c r="AN68" s="6"/>
      <c r="AO68" s="6"/>
      <c r="AP68" s="6"/>
      <c r="AQ68" s="6"/>
      <c r="AR68" s="6"/>
      <c r="AS68" s="6"/>
      <c r="AT68" s="6"/>
      <c r="AU68" s="6"/>
      <c r="AV68" s="6"/>
      <c r="AW68" s="6"/>
      <c r="AX68" s="6"/>
      <c r="AY68" s="6"/>
      <c r="AZ68" s="6"/>
      <c r="BA68" s="6"/>
      <c r="BB68" s="6"/>
      <c r="BC68" s="6"/>
      <c r="BD68" s="6"/>
      <c r="BE68" s="6"/>
      <c r="BF68" s="6"/>
      <c r="BG68" s="6"/>
      <c r="BH68" s="6"/>
      <c r="BI68" s="6"/>
      <c r="BJ68" s="6"/>
      <c r="BK68" s="6"/>
      <c r="BL68" s="6"/>
      <c r="BM68" s="6"/>
      <c r="BN68" s="6"/>
      <c r="BO68" s="6"/>
      <c r="BP68" s="6"/>
      <c r="BQ68" s="6"/>
      <c r="BR68" s="6"/>
      <c r="BS68" s="6"/>
      <c r="BT68" s="6"/>
      <c r="BU68" s="6"/>
      <c r="BV68" s="6"/>
      <c r="BW68" s="6"/>
      <c r="BX68" s="6"/>
      <c r="BY68" s="6"/>
      <c r="BZ68" s="6"/>
      <c r="CA68" s="6"/>
      <c r="CB68" s="6"/>
      <c r="CC68" s="6"/>
      <c r="CD68" s="6"/>
      <c r="CE68" s="6"/>
      <c r="CF68" s="6"/>
      <c r="CG68" s="6"/>
      <c r="CH68" s="6"/>
      <c r="CI68" s="6"/>
      <c r="CJ68" s="6"/>
      <c r="CK68" s="6"/>
      <c r="CL68" s="6"/>
      <c r="CM68" s="6"/>
      <c r="CN68" s="6"/>
      <c r="CO68" s="6"/>
      <c r="CP68" s="6"/>
      <c r="CQ68" s="6"/>
      <c r="CR68" s="6"/>
      <c r="CS68" s="6"/>
      <c r="CT68" s="6"/>
      <c r="CU68" s="6"/>
      <c r="CV68" s="6"/>
      <c r="CW68" s="6"/>
      <c r="CX68" s="6"/>
      <c r="CY68" s="6"/>
      <c r="CZ68" s="6"/>
      <c r="DA68" s="6"/>
      <c r="DB68" s="6"/>
      <c r="DC68" s="6"/>
      <c r="DD68" s="6"/>
      <c r="DE68" s="6"/>
      <c r="DF68" s="6"/>
      <c r="DG68" s="6"/>
      <c r="DH68" s="6"/>
      <c r="DI68" s="6"/>
      <c r="DJ68" s="6"/>
      <c r="DK68" s="6"/>
      <c r="DL68" s="6"/>
      <c r="DM68" s="6"/>
      <c r="DN68" s="6"/>
      <c r="DO68" s="6"/>
      <c r="DP68" s="6"/>
      <c r="DQ68" s="6"/>
      <c r="DR68" s="6"/>
      <c r="DS68" s="6"/>
      <c r="DT68" s="6"/>
      <c r="DU68" s="6"/>
      <c r="DV68" s="6"/>
      <c r="DW68" s="6"/>
      <c r="DX68" s="6"/>
      <c r="DY68" s="6"/>
      <c r="DZ68" s="6"/>
      <c r="EA68" s="6"/>
      <c r="EB68" s="6"/>
      <c r="EC68" s="6"/>
      <c r="ED68" s="6"/>
      <c r="EE68" s="6"/>
      <c r="EF68" s="6"/>
      <c r="EG68" s="6"/>
      <c r="EH68" s="6"/>
      <c r="EI68" s="6"/>
      <c r="EJ68" s="6"/>
      <c r="EK68" s="6"/>
      <c r="EL68" s="6"/>
      <c r="EM68" s="6"/>
      <c r="EN68" s="6"/>
      <c r="EO68" s="6"/>
      <c r="EP68" s="6"/>
      <c r="EQ68" s="6"/>
      <c r="ER68" s="6"/>
      <c r="ES68" s="6"/>
      <c r="ET68" s="6"/>
      <c r="EU68" s="6"/>
      <c r="EV68" s="6"/>
      <c r="EW68" s="6"/>
      <c r="EX68" s="6"/>
      <c r="EY68" s="6"/>
      <c r="EZ68" s="6"/>
      <c r="FA68" s="6"/>
      <c r="FB68" s="6"/>
      <c r="FC68" s="6"/>
      <c r="FD68" s="6"/>
      <c r="FE68" s="6"/>
      <c r="FF68" s="6"/>
      <c r="FG68" s="6"/>
      <c r="FH68" s="6"/>
      <c r="FI68" s="6"/>
      <c r="FJ68" s="6"/>
      <c r="FK68" s="6"/>
      <c r="FL68" s="6"/>
      <c r="FM68" s="6"/>
    </row>
    <row r="69" spans="1:169" x14ac:dyDescent="0.3">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c r="AI69" s="6"/>
      <c r="AJ69" s="6"/>
      <c r="AK69" s="6"/>
      <c r="AL69" s="6"/>
      <c r="AM69" s="6"/>
      <c r="AN69" s="6"/>
      <c r="AO69" s="6"/>
      <c r="AP69" s="6"/>
      <c r="AQ69" s="6"/>
      <c r="AR69" s="6"/>
      <c r="AS69" s="6"/>
      <c r="AT69" s="6"/>
      <c r="AU69" s="6"/>
      <c r="AV69" s="6"/>
      <c r="AW69" s="6"/>
      <c r="AX69" s="6"/>
      <c r="AY69" s="6"/>
      <c r="AZ69" s="6"/>
      <c r="BA69" s="6"/>
      <c r="BB69" s="6"/>
      <c r="BC69" s="6"/>
      <c r="BD69" s="6"/>
      <c r="BE69" s="6"/>
      <c r="BF69" s="6"/>
      <c r="BG69" s="6"/>
      <c r="BH69" s="6"/>
      <c r="BI69" s="6"/>
      <c r="BJ69" s="6"/>
      <c r="BK69" s="6"/>
      <c r="BL69" s="6"/>
      <c r="BM69" s="6"/>
      <c r="BN69" s="6"/>
      <c r="BO69" s="6"/>
      <c r="BP69" s="6"/>
      <c r="BQ69" s="6"/>
      <c r="BR69" s="6"/>
      <c r="BS69" s="6"/>
      <c r="BT69" s="6"/>
      <c r="BU69" s="6"/>
      <c r="BV69" s="6"/>
      <c r="BW69" s="6"/>
      <c r="BX69" s="6"/>
      <c r="BY69" s="6"/>
      <c r="BZ69" s="6"/>
      <c r="CA69" s="6"/>
      <c r="CB69" s="6"/>
      <c r="CC69" s="6"/>
      <c r="CD69" s="6"/>
      <c r="CE69" s="6"/>
      <c r="CF69" s="6"/>
      <c r="CG69" s="6"/>
      <c r="CH69" s="6"/>
      <c r="CI69" s="6"/>
      <c r="CJ69" s="6"/>
      <c r="CK69" s="6"/>
      <c r="CL69" s="6"/>
      <c r="CM69" s="6"/>
      <c r="CN69" s="6"/>
      <c r="CO69" s="6"/>
      <c r="CP69" s="6"/>
      <c r="CQ69" s="6"/>
      <c r="CR69" s="6"/>
      <c r="CS69" s="6"/>
      <c r="CT69" s="6"/>
      <c r="CU69" s="6"/>
      <c r="CV69" s="6"/>
      <c r="CW69" s="6"/>
      <c r="CX69" s="6"/>
      <c r="CY69" s="6"/>
      <c r="CZ69" s="6"/>
      <c r="DA69" s="6"/>
      <c r="DB69" s="6"/>
      <c r="DC69" s="6"/>
      <c r="DD69" s="6"/>
      <c r="DE69" s="6"/>
      <c r="DF69" s="6"/>
      <c r="DG69" s="6"/>
      <c r="DH69" s="6"/>
      <c r="DI69" s="6"/>
      <c r="DJ69" s="6"/>
      <c r="DK69" s="6"/>
      <c r="DL69" s="6"/>
      <c r="DM69" s="6"/>
      <c r="DN69" s="6"/>
      <c r="DO69" s="6"/>
      <c r="DP69" s="6"/>
      <c r="DQ69" s="6"/>
      <c r="DR69" s="6"/>
      <c r="DS69" s="6"/>
      <c r="DT69" s="6"/>
      <c r="DU69" s="6"/>
      <c r="DV69" s="6"/>
      <c r="DW69" s="6"/>
      <c r="DX69" s="6"/>
      <c r="DY69" s="6"/>
      <c r="DZ69" s="6"/>
      <c r="EA69" s="6"/>
      <c r="EB69" s="6"/>
      <c r="EC69" s="6"/>
      <c r="ED69" s="6"/>
      <c r="EE69" s="6"/>
      <c r="EF69" s="6"/>
      <c r="EG69" s="6"/>
      <c r="EH69" s="6"/>
      <c r="EI69" s="6"/>
      <c r="EJ69" s="6"/>
      <c r="EK69" s="6"/>
      <c r="EL69" s="6"/>
      <c r="EM69" s="6"/>
      <c r="EN69" s="6"/>
      <c r="EO69" s="6"/>
      <c r="EP69" s="6"/>
      <c r="EQ69" s="6"/>
      <c r="ER69" s="6"/>
      <c r="ES69" s="6"/>
      <c r="ET69" s="6"/>
      <c r="EU69" s="6"/>
      <c r="EV69" s="6"/>
      <c r="EW69" s="6"/>
      <c r="EX69" s="6"/>
      <c r="EY69" s="6"/>
      <c r="EZ69" s="6"/>
      <c r="FA69" s="6"/>
      <c r="FB69" s="6"/>
      <c r="FC69" s="6"/>
      <c r="FD69" s="6"/>
      <c r="FE69" s="6"/>
      <c r="FF69" s="6"/>
      <c r="FG69" s="6"/>
      <c r="FH69" s="6"/>
      <c r="FI69" s="6"/>
      <c r="FJ69" s="6"/>
      <c r="FK69" s="6"/>
      <c r="FL69" s="6"/>
      <c r="FM69" s="6"/>
    </row>
    <row r="70" spans="1:169" x14ac:dyDescent="0.3">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c r="AI70" s="6"/>
      <c r="AJ70" s="6"/>
      <c r="AK70" s="6"/>
      <c r="AL70" s="6"/>
      <c r="AM70" s="6"/>
      <c r="AN70" s="6"/>
      <c r="AO70" s="6"/>
      <c r="AP70" s="6"/>
      <c r="AQ70" s="6"/>
      <c r="AR70" s="6"/>
      <c r="AS70" s="6"/>
      <c r="AT70" s="6"/>
      <c r="AU70" s="6"/>
      <c r="AV70" s="6"/>
      <c r="AW70" s="6"/>
      <c r="AX70" s="6"/>
      <c r="AY70" s="6"/>
      <c r="AZ70" s="6"/>
      <c r="BA70" s="6"/>
      <c r="BB70" s="6"/>
      <c r="BC70" s="6"/>
      <c r="BD70" s="6"/>
      <c r="BE70" s="6"/>
      <c r="BF70" s="6"/>
      <c r="BG70" s="6"/>
      <c r="BH70" s="6"/>
      <c r="BI70" s="6"/>
      <c r="BJ70" s="6"/>
      <c r="BK70" s="6"/>
      <c r="BL70" s="6"/>
      <c r="BM70" s="6"/>
      <c r="BN70" s="6"/>
      <c r="BO70" s="6"/>
      <c r="BP70" s="6"/>
      <c r="BQ70" s="6"/>
      <c r="BR70" s="6"/>
      <c r="BS70" s="6"/>
      <c r="BT70" s="6"/>
      <c r="BU70" s="6"/>
      <c r="BV70" s="6"/>
      <c r="BW70" s="6"/>
      <c r="BX70" s="6"/>
      <c r="BY70" s="6"/>
      <c r="BZ70" s="6"/>
      <c r="CA70" s="6"/>
      <c r="CB70" s="6"/>
      <c r="CC70" s="6"/>
      <c r="CD70" s="6"/>
      <c r="CE70" s="6"/>
      <c r="CF70" s="6"/>
      <c r="CG70" s="6"/>
      <c r="CH70" s="6"/>
      <c r="CI70" s="6"/>
      <c r="CJ70" s="6"/>
      <c r="CK70" s="6"/>
      <c r="CL70" s="6"/>
      <c r="CM70" s="6"/>
      <c r="CN70" s="6"/>
      <c r="CO70" s="6"/>
      <c r="CP70" s="6"/>
      <c r="CQ70" s="6"/>
      <c r="CR70" s="6"/>
      <c r="CS70" s="6"/>
      <c r="CT70" s="6"/>
      <c r="CU70" s="6"/>
      <c r="CV70" s="6"/>
      <c r="CW70" s="6"/>
      <c r="CX70" s="6"/>
      <c r="CY70" s="6"/>
      <c r="CZ70" s="6"/>
      <c r="DA70" s="6"/>
      <c r="DB70" s="6"/>
      <c r="DC70" s="6"/>
      <c r="DD70" s="6"/>
      <c r="DE70" s="6"/>
      <c r="DF70" s="6"/>
      <c r="DG70" s="6"/>
      <c r="DH70" s="6"/>
      <c r="DI70" s="6"/>
      <c r="DJ70" s="6"/>
      <c r="DK70" s="6"/>
      <c r="DL70" s="6"/>
      <c r="DM70" s="6"/>
      <c r="DN70" s="6"/>
      <c r="DO70" s="6"/>
      <c r="DP70" s="6"/>
      <c r="DQ70" s="6"/>
      <c r="DR70" s="6"/>
      <c r="DS70" s="6"/>
      <c r="DT70" s="6"/>
      <c r="DU70" s="6"/>
      <c r="DV70" s="6"/>
      <c r="DW70" s="6"/>
      <c r="DX70" s="6"/>
      <c r="DY70" s="6"/>
      <c r="DZ70" s="6"/>
      <c r="EA70" s="6"/>
      <c r="EB70" s="6"/>
      <c r="EC70" s="6"/>
      <c r="ED70" s="6"/>
      <c r="EE70" s="6"/>
      <c r="EF70" s="6"/>
      <c r="EG70" s="6"/>
      <c r="EH70" s="6"/>
      <c r="EI70" s="6"/>
      <c r="EJ70" s="6"/>
      <c r="EK70" s="6"/>
      <c r="EL70" s="6"/>
      <c r="EM70" s="6"/>
      <c r="EN70" s="6"/>
      <c r="EO70" s="6"/>
      <c r="EP70" s="6"/>
      <c r="EQ70" s="6"/>
      <c r="ER70" s="6"/>
      <c r="ES70" s="6"/>
      <c r="ET70" s="6"/>
      <c r="EU70" s="6"/>
      <c r="EV70" s="6"/>
      <c r="EW70" s="6"/>
      <c r="EX70" s="6"/>
      <c r="EY70" s="6"/>
      <c r="EZ70" s="6"/>
      <c r="FA70" s="6"/>
      <c r="FB70" s="6"/>
      <c r="FC70" s="6"/>
      <c r="FD70" s="6"/>
      <c r="FE70" s="6"/>
      <c r="FF70" s="6"/>
      <c r="FG70" s="6"/>
      <c r="FH70" s="6"/>
      <c r="FI70" s="6"/>
      <c r="FJ70" s="6"/>
      <c r="FK70" s="6"/>
      <c r="FL70" s="6"/>
      <c r="FM70" s="6"/>
    </row>
    <row r="71" spans="1:169" x14ac:dyDescent="0.3">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c r="AI71" s="6"/>
      <c r="AJ71" s="6"/>
      <c r="AK71" s="6"/>
      <c r="AL71" s="6"/>
      <c r="AM71" s="6"/>
      <c r="AN71" s="6"/>
      <c r="AO71" s="6"/>
      <c r="AP71" s="6"/>
      <c r="AQ71" s="6"/>
      <c r="AR71" s="6"/>
      <c r="AS71" s="6"/>
      <c r="AT71" s="6"/>
      <c r="AU71" s="6"/>
      <c r="AV71" s="6"/>
      <c r="AW71" s="6"/>
      <c r="AX71" s="6"/>
      <c r="AY71" s="6"/>
      <c r="AZ71" s="6"/>
      <c r="BA71" s="6"/>
      <c r="BB71" s="6"/>
      <c r="BC71" s="6"/>
      <c r="BD71" s="6"/>
      <c r="BE71" s="6"/>
      <c r="BF71" s="6"/>
      <c r="BG71" s="6"/>
      <c r="BH71" s="6"/>
      <c r="BI71" s="6"/>
      <c r="BJ71" s="6"/>
      <c r="BK71" s="6"/>
      <c r="BL71" s="6"/>
      <c r="BM71" s="6"/>
      <c r="BN71" s="6"/>
      <c r="BO71" s="6"/>
      <c r="BP71" s="6"/>
      <c r="BQ71" s="6"/>
      <c r="BR71" s="6"/>
      <c r="BS71" s="6"/>
      <c r="BT71" s="6"/>
      <c r="BU71" s="6"/>
      <c r="BV71" s="6"/>
      <c r="BW71" s="6"/>
      <c r="BX71" s="6"/>
      <c r="BY71" s="6"/>
      <c r="BZ71" s="6"/>
      <c r="CA71" s="6"/>
      <c r="CB71" s="6"/>
      <c r="CC71" s="6"/>
      <c r="CD71" s="6"/>
      <c r="CE71" s="6"/>
      <c r="CF71" s="6"/>
      <c r="CG71" s="6"/>
      <c r="CH71" s="6"/>
      <c r="CI71" s="6"/>
      <c r="CJ71" s="6"/>
      <c r="CK71" s="6"/>
      <c r="CL71" s="6"/>
      <c r="CM71" s="6"/>
      <c r="CN71" s="6"/>
      <c r="CO71" s="6"/>
      <c r="CP71" s="6"/>
      <c r="CQ71" s="6"/>
      <c r="CR71" s="6"/>
      <c r="CS71" s="6"/>
      <c r="CT71" s="6"/>
      <c r="CU71" s="6"/>
      <c r="CV71" s="6"/>
      <c r="CW71" s="6"/>
      <c r="CX71" s="6"/>
      <c r="CY71" s="6"/>
      <c r="CZ71" s="6"/>
      <c r="DA71" s="6"/>
      <c r="DB71" s="6"/>
      <c r="DC71" s="6"/>
      <c r="DD71" s="6"/>
      <c r="DE71" s="6"/>
      <c r="DF71" s="6"/>
      <c r="DG71" s="6"/>
      <c r="DH71" s="6"/>
      <c r="DI71" s="6"/>
      <c r="DJ71" s="6"/>
      <c r="DK71" s="6"/>
      <c r="DL71" s="6"/>
      <c r="DM71" s="6"/>
      <c r="DN71" s="6"/>
      <c r="DO71" s="6"/>
      <c r="DP71" s="6"/>
      <c r="DQ71" s="6"/>
      <c r="DR71" s="6"/>
      <c r="DS71" s="6"/>
      <c r="DT71" s="6"/>
      <c r="DU71" s="6"/>
      <c r="DV71" s="6"/>
      <c r="DW71" s="6"/>
      <c r="DX71" s="6"/>
      <c r="DY71" s="6"/>
      <c r="DZ71" s="6"/>
      <c r="EA71" s="6"/>
      <c r="EB71" s="6"/>
      <c r="EC71" s="6"/>
      <c r="ED71" s="6"/>
      <c r="EE71" s="6"/>
      <c r="EF71" s="6"/>
      <c r="EG71" s="6"/>
      <c r="EH71" s="6"/>
      <c r="EI71" s="6"/>
      <c r="EJ71" s="6"/>
      <c r="EK71" s="6"/>
      <c r="EL71" s="6"/>
      <c r="EM71" s="6"/>
      <c r="EN71" s="6"/>
      <c r="EO71" s="6"/>
      <c r="EP71" s="6"/>
      <c r="EQ71" s="6"/>
      <c r="ER71" s="6"/>
      <c r="ES71" s="6"/>
      <c r="ET71" s="6"/>
      <c r="EU71" s="6"/>
      <c r="EV71" s="6"/>
      <c r="EW71" s="6"/>
      <c r="EX71" s="6"/>
      <c r="EY71" s="6"/>
      <c r="EZ71" s="6"/>
      <c r="FA71" s="6"/>
      <c r="FB71" s="6"/>
      <c r="FC71" s="6"/>
      <c r="FD71" s="6"/>
      <c r="FE71" s="6"/>
      <c r="FF71" s="6"/>
      <c r="FG71" s="6"/>
      <c r="FH71" s="6"/>
      <c r="FI71" s="6"/>
      <c r="FJ71" s="6"/>
      <c r="FK71" s="6"/>
      <c r="FL71" s="6"/>
      <c r="FM71" s="6"/>
    </row>
    <row r="72" spans="1:169" x14ac:dyDescent="0.3">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c r="AI72" s="6"/>
      <c r="AJ72" s="6"/>
      <c r="AK72" s="6"/>
      <c r="AL72" s="6"/>
      <c r="AM72" s="6"/>
      <c r="AN72" s="6"/>
      <c r="AO72" s="6"/>
      <c r="AP72" s="6"/>
      <c r="AQ72" s="6"/>
      <c r="AR72" s="6"/>
      <c r="AS72" s="6"/>
      <c r="AT72" s="6"/>
      <c r="AU72" s="6"/>
      <c r="AV72" s="6"/>
      <c r="AW72" s="6"/>
      <c r="AX72" s="6"/>
      <c r="AY72" s="6"/>
      <c r="AZ72" s="6"/>
      <c r="BA72" s="6"/>
      <c r="BB72" s="6"/>
      <c r="BC72" s="6"/>
      <c r="BD72" s="6"/>
      <c r="BE72" s="6"/>
      <c r="BF72" s="6"/>
      <c r="BG72" s="6"/>
      <c r="BH72" s="6"/>
      <c r="BI72" s="6"/>
      <c r="BJ72" s="6"/>
      <c r="BK72" s="6"/>
      <c r="BL72" s="6"/>
      <c r="BM72" s="6"/>
      <c r="BN72" s="6"/>
      <c r="BO72" s="6"/>
      <c r="BP72" s="6"/>
      <c r="BQ72" s="6"/>
      <c r="BR72" s="6"/>
      <c r="BS72" s="6"/>
      <c r="BT72" s="6"/>
      <c r="BU72" s="6"/>
      <c r="BV72" s="6"/>
      <c r="BW72" s="6"/>
      <c r="BX72" s="6"/>
      <c r="BY72" s="6"/>
      <c r="BZ72" s="6"/>
      <c r="CA72" s="6"/>
      <c r="CB72" s="6"/>
      <c r="CC72" s="6"/>
      <c r="CD72" s="6"/>
      <c r="CE72" s="6"/>
      <c r="CF72" s="6"/>
      <c r="CG72" s="6"/>
      <c r="CH72" s="6"/>
      <c r="CI72" s="6"/>
      <c r="CJ72" s="6"/>
      <c r="CK72" s="6"/>
      <c r="CL72" s="6"/>
      <c r="CM72" s="6"/>
      <c r="CN72" s="6"/>
      <c r="CO72" s="6"/>
      <c r="CP72" s="6"/>
      <c r="CQ72" s="6"/>
      <c r="CR72" s="6"/>
      <c r="CS72" s="6"/>
      <c r="CT72" s="6"/>
      <c r="CU72" s="6"/>
      <c r="CV72" s="6"/>
      <c r="CW72" s="6"/>
      <c r="CX72" s="6"/>
      <c r="CY72" s="6"/>
      <c r="CZ72" s="6"/>
      <c r="DA72" s="6"/>
      <c r="DB72" s="6"/>
      <c r="DC72" s="6"/>
      <c r="DD72" s="6"/>
      <c r="DE72" s="6"/>
      <c r="DF72" s="6"/>
      <c r="DG72" s="6"/>
      <c r="DH72" s="6"/>
      <c r="DI72" s="6"/>
      <c r="DJ72" s="6"/>
      <c r="DK72" s="6"/>
      <c r="DL72" s="6"/>
      <c r="DM72" s="6"/>
      <c r="DN72" s="6"/>
      <c r="DO72" s="6"/>
      <c r="DP72" s="6"/>
      <c r="DQ72" s="6"/>
      <c r="DR72" s="6"/>
      <c r="DS72" s="6"/>
      <c r="DT72" s="6"/>
      <c r="DU72" s="6"/>
      <c r="DV72" s="6"/>
      <c r="DW72" s="6"/>
      <c r="DX72" s="6"/>
      <c r="DY72" s="6"/>
      <c r="DZ72" s="6"/>
      <c r="EA72" s="6"/>
      <c r="EB72" s="6"/>
      <c r="EC72" s="6"/>
      <c r="ED72" s="6"/>
      <c r="EE72" s="6"/>
      <c r="EF72" s="6"/>
      <c r="EG72" s="6"/>
      <c r="EH72" s="6"/>
      <c r="EI72" s="6"/>
      <c r="EJ72" s="6"/>
      <c r="EK72" s="6"/>
      <c r="EL72" s="6"/>
      <c r="EM72" s="6"/>
      <c r="EN72" s="6"/>
      <c r="EO72" s="6"/>
      <c r="EP72" s="6"/>
      <c r="EQ72" s="6"/>
      <c r="ER72" s="6"/>
      <c r="ES72" s="6"/>
      <c r="ET72" s="6"/>
      <c r="EU72" s="6"/>
      <c r="EV72" s="6"/>
      <c r="EW72" s="6"/>
      <c r="EX72" s="6"/>
      <c r="EY72" s="6"/>
      <c r="EZ72" s="6"/>
      <c r="FA72" s="6"/>
      <c r="FB72" s="6"/>
      <c r="FC72" s="6"/>
      <c r="FD72" s="6"/>
      <c r="FE72" s="6"/>
      <c r="FF72" s="6"/>
      <c r="FG72" s="6"/>
      <c r="FH72" s="6"/>
      <c r="FI72" s="6"/>
      <c r="FJ72" s="6"/>
      <c r="FK72" s="6"/>
      <c r="FL72" s="6"/>
      <c r="FM72" s="6"/>
    </row>
    <row r="73" spans="1:169" x14ac:dyDescent="0.3">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c r="AI73" s="6"/>
      <c r="AJ73" s="6"/>
      <c r="AK73" s="6"/>
      <c r="AL73" s="6"/>
      <c r="AM73" s="6"/>
      <c r="AN73" s="6"/>
      <c r="AO73" s="6"/>
      <c r="AP73" s="6"/>
      <c r="AQ73" s="6"/>
      <c r="AR73" s="6"/>
      <c r="AS73" s="6"/>
      <c r="AT73" s="6"/>
      <c r="AU73" s="6"/>
      <c r="AV73" s="6"/>
      <c r="AW73" s="6"/>
      <c r="AX73" s="6"/>
      <c r="AY73" s="6"/>
      <c r="AZ73" s="6"/>
      <c r="BA73" s="6"/>
      <c r="BB73" s="6"/>
      <c r="BC73" s="6"/>
      <c r="BD73" s="6"/>
      <c r="BE73" s="6"/>
      <c r="BF73" s="6"/>
      <c r="BG73" s="6"/>
      <c r="BH73" s="6"/>
      <c r="BI73" s="6"/>
      <c r="BJ73" s="6"/>
      <c r="BK73" s="6"/>
      <c r="BL73" s="6"/>
      <c r="BM73" s="6"/>
      <c r="BN73" s="6"/>
      <c r="BO73" s="6"/>
      <c r="BP73" s="6"/>
      <c r="BQ73" s="6"/>
      <c r="BR73" s="6"/>
      <c r="BS73" s="6"/>
      <c r="BT73" s="6"/>
      <c r="BU73" s="6"/>
      <c r="BV73" s="6"/>
      <c r="BW73" s="6"/>
      <c r="BX73" s="6"/>
      <c r="BY73" s="6"/>
      <c r="BZ73" s="6"/>
      <c r="CA73" s="6"/>
      <c r="CB73" s="6"/>
      <c r="CC73" s="6"/>
      <c r="CD73" s="6"/>
      <c r="CE73" s="6"/>
      <c r="CF73" s="6"/>
      <c r="CG73" s="6"/>
      <c r="CH73" s="6"/>
      <c r="CI73" s="6"/>
      <c r="CJ73" s="6"/>
      <c r="CK73" s="6"/>
      <c r="CL73" s="6"/>
      <c r="CM73" s="6"/>
      <c r="CN73" s="6"/>
      <c r="CO73" s="6"/>
      <c r="CP73" s="6"/>
      <c r="CQ73" s="6"/>
      <c r="CR73" s="6"/>
      <c r="CS73" s="6"/>
      <c r="CT73" s="6"/>
      <c r="CU73" s="6"/>
      <c r="CV73" s="6"/>
      <c r="CW73" s="6"/>
      <c r="CX73" s="6"/>
      <c r="CY73" s="6"/>
      <c r="CZ73" s="6"/>
      <c r="DA73" s="6"/>
      <c r="DB73" s="6"/>
      <c r="DC73" s="6"/>
      <c r="DD73" s="6"/>
      <c r="DE73" s="6"/>
      <c r="DF73" s="6"/>
      <c r="DG73" s="6"/>
      <c r="DH73" s="6"/>
      <c r="DI73" s="6"/>
      <c r="DJ73" s="6"/>
      <c r="DK73" s="6"/>
      <c r="DL73" s="6"/>
      <c r="DM73" s="6"/>
      <c r="DN73" s="6"/>
      <c r="DO73" s="6"/>
      <c r="DP73" s="6"/>
      <c r="DQ73" s="6"/>
      <c r="DR73" s="6"/>
      <c r="DS73" s="6"/>
      <c r="DT73" s="6"/>
      <c r="DU73" s="6"/>
      <c r="DV73" s="6"/>
      <c r="DW73" s="6"/>
      <c r="DX73" s="6"/>
      <c r="DY73" s="6"/>
      <c r="DZ73" s="6"/>
      <c r="EA73" s="6"/>
      <c r="EB73" s="6"/>
      <c r="EC73" s="6"/>
      <c r="ED73" s="6"/>
      <c r="EE73" s="6"/>
      <c r="EF73" s="6"/>
      <c r="EG73" s="6"/>
      <c r="EH73" s="6"/>
      <c r="EI73" s="6"/>
      <c r="EJ73" s="6"/>
      <c r="EK73" s="6"/>
      <c r="EL73" s="6"/>
      <c r="EM73" s="6"/>
      <c r="EN73" s="6"/>
      <c r="EO73" s="6"/>
      <c r="EP73" s="6"/>
      <c r="EQ73" s="6"/>
      <c r="ER73" s="6"/>
      <c r="ES73" s="6"/>
      <c r="ET73" s="6"/>
      <c r="EU73" s="6"/>
      <c r="EV73" s="6"/>
      <c r="EW73" s="6"/>
      <c r="EX73" s="6"/>
      <c r="EY73" s="6"/>
      <c r="EZ73" s="6"/>
      <c r="FA73" s="6"/>
      <c r="FB73" s="6"/>
      <c r="FC73" s="6"/>
      <c r="FD73" s="6"/>
      <c r="FE73" s="6"/>
      <c r="FF73" s="6"/>
      <c r="FG73" s="6"/>
      <c r="FH73" s="6"/>
      <c r="FI73" s="6"/>
      <c r="FJ73" s="6"/>
      <c r="FK73" s="6"/>
      <c r="FL73" s="6"/>
      <c r="FM73" s="6"/>
    </row>
    <row r="74" spans="1:169" x14ac:dyDescent="0.3">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c r="AI74" s="6"/>
      <c r="AJ74" s="6"/>
      <c r="AK74" s="6"/>
      <c r="AL74" s="6"/>
      <c r="AM74" s="6"/>
      <c r="AN74" s="6"/>
      <c r="AO74" s="6"/>
      <c r="AP74" s="6"/>
      <c r="AQ74" s="6"/>
      <c r="AR74" s="6"/>
      <c r="AS74" s="6"/>
      <c r="AT74" s="6"/>
      <c r="AU74" s="6"/>
      <c r="AV74" s="6"/>
      <c r="AW74" s="6"/>
      <c r="AX74" s="6"/>
      <c r="AY74" s="6"/>
      <c r="AZ74" s="6"/>
      <c r="BA74" s="6"/>
      <c r="BB74" s="6"/>
      <c r="BC74" s="6"/>
      <c r="BD74" s="6"/>
      <c r="BE74" s="6"/>
      <c r="BF74" s="6"/>
      <c r="BG74" s="6"/>
      <c r="BH74" s="6"/>
      <c r="BI74" s="6"/>
      <c r="BJ74" s="6"/>
      <c r="BK74" s="6"/>
      <c r="BL74" s="6"/>
      <c r="BM74" s="6"/>
      <c r="BN74" s="6"/>
      <c r="BO74" s="6"/>
      <c r="BP74" s="6"/>
      <c r="BQ74" s="6"/>
      <c r="BR74" s="6"/>
      <c r="BS74" s="6"/>
      <c r="BT74" s="6"/>
      <c r="BU74" s="6"/>
      <c r="BV74" s="6"/>
      <c r="BW74" s="6"/>
      <c r="BX74" s="6"/>
      <c r="BY74" s="6"/>
      <c r="BZ74" s="6"/>
      <c r="CA74" s="6"/>
      <c r="CB74" s="6"/>
      <c r="CC74" s="6"/>
      <c r="CD74" s="6"/>
      <c r="CE74" s="6"/>
      <c r="CF74" s="6"/>
      <c r="CG74" s="6"/>
      <c r="CH74" s="6"/>
      <c r="CI74" s="6"/>
      <c r="CJ74" s="6"/>
      <c r="CK74" s="6"/>
      <c r="CL74" s="6"/>
      <c r="CM74" s="6"/>
      <c r="CN74" s="6"/>
      <c r="CO74" s="6"/>
      <c r="CP74" s="6"/>
      <c r="CQ74" s="6"/>
      <c r="CR74" s="6"/>
      <c r="CS74" s="6"/>
      <c r="CT74" s="6"/>
      <c r="CU74" s="6"/>
      <c r="CV74" s="6"/>
      <c r="CW74" s="6"/>
      <c r="CX74" s="6"/>
      <c r="CY74" s="6"/>
      <c r="CZ74" s="6"/>
      <c r="DA74" s="6"/>
      <c r="DB74" s="6"/>
      <c r="DC74" s="6"/>
      <c r="DD74" s="6"/>
      <c r="DE74" s="6"/>
      <c r="DF74" s="6"/>
      <c r="DG74" s="6"/>
      <c r="DH74" s="6"/>
      <c r="DI74" s="6"/>
      <c r="DJ74" s="6"/>
      <c r="DK74" s="6"/>
      <c r="DL74" s="6"/>
      <c r="DM74" s="6"/>
      <c r="DN74" s="6"/>
      <c r="DO74" s="6"/>
      <c r="DP74" s="6"/>
      <c r="DQ74" s="6"/>
      <c r="DR74" s="6"/>
      <c r="DS74" s="6"/>
      <c r="DT74" s="6"/>
      <c r="DU74" s="6"/>
      <c r="DV74" s="6"/>
      <c r="DW74" s="6"/>
      <c r="DX74" s="6"/>
      <c r="DY74" s="6"/>
      <c r="DZ74" s="6"/>
      <c r="EA74" s="6"/>
      <c r="EB74" s="6"/>
      <c r="EC74" s="6"/>
      <c r="ED74" s="6"/>
      <c r="EE74" s="6"/>
      <c r="EF74" s="6"/>
      <c r="EG74" s="6"/>
      <c r="EH74" s="6"/>
      <c r="EI74" s="6"/>
      <c r="EJ74" s="6"/>
      <c r="EK74" s="6"/>
      <c r="EL74" s="6"/>
      <c r="EM74" s="6"/>
      <c r="EN74" s="6"/>
      <c r="EO74" s="6"/>
      <c r="EP74" s="6"/>
      <c r="EQ74" s="6"/>
      <c r="ER74" s="6"/>
      <c r="ES74" s="6"/>
      <c r="ET74" s="6"/>
      <c r="EU74" s="6"/>
      <c r="EV74" s="6"/>
      <c r="EW74" s="6"/>
      <c r="EX74" s="6"/>
      <c r="EY74" s="6"/>
      <c r="EZ74" s="6"/>
      <c r="FA74" s="6"/>
      <c r="FB74" s="6"/>
      <c r="FC74" s="6"/>
      <c r="FD74" s="6"/>
      <c r="FE74" s="6"/>
      <c r="FF74" s="6"/>
      <c r="FG74" s="6"/>
      <c r="FH74" s="6"/>
      <c r="FI74" s="6"/>
      <c r="FJ74" s="6"/>
      <c r="FK74" s="6"/>
      <c r="FL74" s="6"/>
      <c r="FM74" s="6"/>
    </row>
    <row r="75" spans="1:169" x14ac:dyDescent="0.3">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c r="AI75" s="6"/>
      <c r="AJ75" s="6"/>
      <c r="AK75" s="6"/>
      <c r="AL75" s="6"/>
      <c r="AM75" s="6"/>
      <c r="AN75" s="6"/>
      <c r="AO75" s="6"/>
      <c r="AP75" s="6"/>
      <c r="AQ75" s="6"/>
      <c r="AR75" s="6"/>
      <c r="AS75" s="6"/>
      <c r="AT75" s="6"/>
      <c r="AU75" s="6"/>
      <c r="AV75" s="6"/>
      <c r="AW75" s="6"/>
      <c r="AX75" s="6"/>
      <c r="AY75" s="6"/>
      <c r="AZ75" s="6"/>
      <c r="BA75" s="6"/>
      <c r="BB75" s="6"/>
      <c r="BC75" s="6"/>
      <c r="BD75" s="6"/>
      <c r="BE75" s="6"/>
      <c r="BF75" s="6"/>
      <c r="BG75" s="6"/>
      <c r="BH75" s="6"/>
      <c r="BI75" s="6"/>
      <c r="BJ75" s="6"/>
      <c r="BK75" s="6"/>
      <c r="BL75" s="6"/>
      <c r="BM75" s="6"/>
      <c r="BN75" s="6"/>
      <c r="BO75" s="6"/>
      <c r="BP75" s="6"/>
      <c r="BQ75" s="6"/>
      <c r="BR75" s="6"/>
      <c r="BS75" s="6"/>
      <c r="BT75" s="6"/>
      <c r="BU75" s="6"/>
      <c r="BV75" s="6"/>
      <c r="BW75" s="6"/>
      <c r="BX75" s="6"/>
      <c r="BY75" s="6"/>
      <c r="BZ75" s="6"/>
      <c r="CA75" s="6"/>
      <c r="CB75" s="6"/>
      <c r="CC75" s="6"/>
      <c r="CD75" s="6"/>
      <c r="CE75" s="6"/>
      <c r="CF75" s="6"/>
      <c r="CG75" s="6"/>
      <c r="CH75" s="6"/>
      <c r="CI75" s="6"/>
      <c r="CJ75" s="6"/>
      <c r="CK75" s="6"/>
      <c r="CL75" s="6"/>
      <c r="CM75" s="6"/>
      <c r="CN75" s="6"/>
      <c r="CO75" s="6"/>
      <c r="CP75" s="6"/>
      <c r="CQ75" s="6"/>
      <c r="CR75" s="6"/>
      <c r="CS75" s="6"/>
      <c r="CT75" s="6"/>
      <c r="CU75" s="6"/>
      <c r="CV75" s="6"/>
      <c r="CW75" s="6"/>
      <c r="CX75" s="6"/>
      <c r="CY75" s="6"/>
      <c r="CZ75" s="6"/>
      <c r="DA75" s="6"/>
      <c r="DB75" s="6"/>
      <c r="DC75" s="6"/>
      <c r="DD75" s="6"/>
      <c r="DE75" s="6"/>
      <c r="DF75" s="6"/>
      <c r="DG75" s="6"/>
      <c r="DH75" s="6"/>
      <c r="DI75" s="6"/>
      <c r="DJ75" s="6"/>
      <c r="DK75" s="6"/>
      <c r="DL75" s="6"/>
      <c r="DM75" s="6"/>
      <c r="DN75" s="6"/>
      <c r="DO75" s="6"/>
      <c r="DP75" s="6"/>
      <c r="DQ75" s="6"/>
      <c r="DR75" s="6"/>
      <c r="DS75" s="6"/>
      <c r="DT75" s="6"/>
      <c r="DU75" s="6"/>
      <c r="DV75" s="6"/>
      <c r="DW75" s="6"/>
      <c r="DX75" s="6"/>
      <c r="DY75" s="6"/>
      <c r="DZ75" s="6"/>
      <c r="EA75" s="6"/>
      <c r="EB75" s="6"/>
      <c r="EC75" s="6"/>
      <c r="ED75" s="6"/>
      <c r="EE75" s="6"/>
      <c r="EF75" s="6"/>
      <c r="EG75" s="6"/>
      <c r="EH75" s="6"/>
      <c r="EI75" s="6"/>
      <c r="EJ75" s="6"/>
      <c r="EK75" s="6"/>
      <c r="EL75" s="6"/>
      <c r="EM75" s="6"/>
      <c r="EN75" s="6"/>
      <c r="EO75" s="6"/>
      <c r="EP75" s="6"/>
      <c r="EQ75" s="6"/>
      <c r="ER75" s="6"/>
      <c r="ES75" s="6"/>
      <c r="ET75" s="6"/>
      <c r="EU75" s="6"/>
      <c r="EV75" s="6"/>
      <c r="EW75" s="6"/>
      <c r="EX75" s="6"/>
      <c r="EY75" s="6"/>
      <c r="EZ75" s="6"/>
      <c r="FA75" s="6"/>
      <c r="FB75" s="6"/>
      <c r="FC75" s="6"/>
      <c r="FD75" s="6"/>
      <c r="FE75" s="6"/>
      <c r="FF75" s="6"/>
      <c r="FG75" s="6"/>
      <c r="FH75" s="6"/>
      <c r="FI75" s="6"/>
      <c r="FJ75" s="6"/>
      <c r="FK75" s="6"/>
      <c r="FL75" s="6"/>
      <c r="FM75" s="6"/>
    </row>
    <row r="76" spans="1:169" x14ac:dyDescent="0.3">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c r="AI76" s="6"/>
      <c r="AJ76" s="6"/>
      <c r="AK76" s="6"/>
      <c r="AL76" s="6"/>
      <c r="AM76" s="6"/>
      <c r="AN76" s="6"/>
      <c r="AO76" s="6"/>
      <c r="AP76" s="6"/>
      <c r="AQ76" s="6"/>
      <c r="AR76" s="6"/>
      <c r="AS76" s="6"/>
      <c r="AT76" s="6"/>
      <c r="AU76" s="6"/>
      <c r="AV76" s="6"/>
      <c r="AW76" s="6"/>
      <c r="AX76" s="6"/>
      <c r="AY76" s="6"/>
      <c r="AZ76" s="6"/>
      <c r="BA76" s="6"/>
      <c r="BB76" s="6"/>
      <c r="BC76" s="6"/>
      <c r="BD76" s="6"/>
      <c r="BE76" s="6"/>
      <c r="BF76" s="6"/>
      <c r="BG76" s="6"/>
      <c r="BH76" s="6"/>
      <c r="BI76" s="6"/>
      <c r="BJ76" s="6"/>
      <c r="BK76" s="6"/>
      <c r="BL76" s="6"/>
      <c r="BM76" s="6"/>
      <c r="BN76" s="6"/>
      <c r="BO76" s="6"/>
      <c r="BP76" s="6"/>
      <c r="BQ76" s="6"/>
      <c r="BR76" s="6"/>
      <c r="BS76" s="6"/>
      <c r="BT76" s="6"/>
      <c r="BU76" s="6"/>
      <c r="BV76" s="6"/>
      <c r="BW76" s="6"/>
      <c r="BX76" s="6"/>
      <c r="BY76" s="6"/>
      <c r="BZ76" s="6"/>
      <c r="CA76" s="6"/>
      <c r="CB76" s="6"/>
      <c r="CC76" s="6"/>
      <c r="CD76" s="6"/>
      <c r="CE76" s="6"/>
      <c r="CF76" s="6"/>
      <c r="CG76" s="6"/>
      <c r="CH76" s="6"/>
      <c r="CI76" s="6"/>
      <c r="CJ76" s="6"/>
      <c r="CK76" s="6"/>
      <c r="CL76" s="6"/>
      <c r="CM76" s="6"/>
      <c r="CN76" s="6"/>
      <c r="CO76" s="6"/>
      <c r="CP76" s="6"/>
      <c r="CQ76" s="6"/>
      <c r="CR76" s="6"/>
      <c r="CS76" s="6"/>
      <c r="CT76" s="6"/>
      <c r="CU76" s="6"/>
      <c r="CV76" s="6"/>
      <c r="CW76" s="6"/>
      <c r="CX76" s="6"/>
      <c r="CY76" s="6"/>
      <c r="CZ76" s="6"/>
      <c r="DA76" s="6"/>
      <c r="DB76" s="6"/>
      <c r="DC76" s="6"/>
      <c r="DD76" s="6"/>
      <c r="DE76" s="6"/>
      <c r="DF76" s="6"/>
      <c r="DG76" s="6"/>
      <c r="DH76" s="6"/>
      <c r="DI76" s="6"/>
      <c r="DJ76" s="6"/>
      <c r="DK76" s="6"/>
      <c r="DL76" s="6"/>
      <c r="DM76" s="6"/>
      <c r="DN76" s="6"/>
      <c r="DO76" s="6"/>
      <c r="DP76" s="6"/>
      <c r="DQ76" s="6"/>
      <c r="DR76" s="6"/>
      <c r="DS76" s="6"/>
      <c r="DT76" s="6"/>
      <c r="DU76" s="6"/>
      <c r="DV76" s="6"/>
      <c r="DW76" s="6"/>
      <c r="DX76" s="6"/>
      <c r="DY76" s="6"/>
      <c r="DZ76" s="6"/>
      <c r="EA76" s="6"/>
      <c r="EB76" s="6"/>
      <c r="EC76" s="6"/>
      <c r="ED76" s="6"/>
      <c r="EE76" s="6"/>
      <c r="EF76" s="6"/>
      <c r="EG76" s="6"/>
      <c r="EH76" s="6"/>
      <c r="EI76" s="6"/>
      <c r="EJ76" s="6"/>
      <c r="EK76" s="6"/>
      <c r="EL76" s="6"/>
      <c r="EM76" s="6"/>
      <c r="EN76" s="6"/>
      <c r="EO76" s="6"/>
      <c r="EP76" s="6"/>
      <c r="EQ76" s="6"/>
      <c r="ER76" s="6"/>
      <c r="ES76" s="6"/>
      <c r="ET76" s="6"/>
      <c r="EU76" s="6"/>
      <c r="EV76" s="6"/>
      <c r="EW76" s="6"/>
      <c r="EX76" s="6"/>
      <c r="EY76" s="6"/>
      <c r="EZ76" s="6"/>
      <c r="FA76" s="6"/>
      <c r="FB76" s="6"/>
      <c r="FC76" s="6"/>
      <c r="FD76" s="6"/>
      <c r="FE76" s="6"/>
      <c r="FF76" s="6"/>
      <c r="FG76" s="6"/>
      <c r="FH76" s="6"/>
      <c r="FI76" s="6"/>
      <c r="FJ76" s="6"/>
      <c r="FK76" s="6"/>
      <c r="FL76" s="6"/>
      <c r="FM76" s="6"/>
    </row>
    <row r="77" spans="1:169" x14ac:dyDescent="0.3">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c r="AI77" s="6"/>
      <c r="AJ77" s="6"/>
      <c r="AK77" s="6"/>
      <c r="AL77" s="6"/>
      <c r="AM77" s="6"/>
      <c r="AN77" s="6"/>
      <c r="AO77" s="6"/>
      <c r="AP77" s="6"/>
      <c r="AQ77" s="6"/>
      <c r="AR77" s="6"/>
      <c r="AS77" s="6"/>
      <c r="AT77" s="6"/>
      <c r="AU77" s="6"/>
      <c r="AV77" s="6"/>
      <c r="AW77" s="6"/>
      <c r="AX77" s="6"/>
      <c r="AY77" s="6"/>
      <c r="AZ77" s="6"/>
      <c r="BA77" s="6"/>
      <c r="BB77" s="6"/>
      <c r="BC77" s="6"/>
      <c r="BD77" s="6"/>
      <c r="BE77" s="6"/>
      <c r="BF77" s="6"/>
      <c r="BG77" s="6"/>
      <c r="BH77" s="6"/>
      <c r="BI77" s="6"/>
      <c r="BJ77" s="6"/>
      <c r="BK77" s="6"/>
      <c r="BL77" s="6"/>
      <c r="BM77" s="6"/>
      <c r="BN77" s="6"/>
      <c r="BO77" s="6"/>
      <c r="BP77" s="6"/>
      <c r="BQ77" s="6"/>
      <c r="BR77" s="6"/>
      <c r="BS77" s="6"/>
      <c r="BT77" s="6"/>
      <c r="BU77" s="6"/>
      <c r="BV77" s="6"/>
      <c r="BW77" s="6"/>
      <c r="BX77" s="6"/>
      <c r="BY77" s="6"/>
      <c r="BZ77" s="6"/>
      <c r="CA77" s="6"/>
      <c r="CB77" s="6"/>
      <c r="CC77" s="6"/>
      <c r="CD77" s="6"/>
      <c r="CE77" s="6"/>
      <c r="CF77" s="6"/>
      <c r="CG77" s="6"/>
      <c r="CH77" s="6"/>
      <c r="CI77" s="6"/>
      <c r="CJ77" s="6"/>
      <c r="CK77" s="6"/>
      <c r="CL77" s="6"/>
      <c r="CM77" s="6"/>
      <c r="CN77" s="6"/>
      <c r="CO77" s="6"/>
      <c r="CP77" s="6"/>
      <c r="CQ77" s="6"/>
      <c r="CR77" s="6"/>
      <c r="CS77" s="6"/>
      <c r="CT77" s="6"/>
      <c r="CU77" s="6"/>
      <c r="CV77" s="6"/>
      <c r="CW77" s="6"/>
      <c r="CX77" s="6"/>
      <c r="CY77" s="6"/>
      <c r="CZ77" s="6"/>
      <c r="DA77" s="6"/>
      <c r="DB77" s="6"/>
      <c r="DC77" s="6"/>
      <c r="DD77" s="6"/>
      <c r="DE77" s="6"/>
      <c r="DF77" s="6"/>
      <c r="DG77" s="6"/>
      <c r="DH77" s="6"/>
      <c r="DI77" s="6"/>
      <c r="DJ77" s="6"/>
      <c r="DK77" s="6"/>
      <c r="DL77" s="6"/>
      <c r="DM77" s="6"/>
      <c r="DN77" s="6"/>
      <c r="DO77" s="6"/>
      <c r="DP77" s="6"/>
      <c r="DQ77" s="6"/>
      <c r="DR77" s="6"/>
      <c r="DS77" s="6"/>
      <c r="DT77" s="6"/>
      <c r="DU77" s="6"/>
      <c r="DV77" s="6"/>
      <c r="DW77" s="6"/>
      <c r="DX77" s="6"/>
      <c r="DY77" s="6"/>
      <c r="DZ77" s="6"/>
      <c r="EA77" s="6"/>
      <c r="EB77" s="6"/>
      <c r="EC77" s="6"/>
      <c r="ED77" s="6"/>
      <c r="EE77" s="6"/>
      <c r="EF77" s="6"/>
      <c r="EG77" s="6"/>
      <c r="EH77" s="6"/>
      <c r="EI77" s="6"/>
      <c r="EJ77" s="6"/>
      <c r="EK77" s="6"/>
      <c r="EL77" s="6"/>
      <c r="EM77" s="6"/>
      <c r="EN77" s="6"/>
      <c r="EO77" s="6"/>
      <c r="EP77" s="6"/>
      <c r="EQ77" s="6"/>
      <c r="ER77" s="6"/>
      <c r="ES77" s="6"/>
      <c r="ET77" s="6"/>
      <c r="EU77" s="6"/>
      <c r="EV77" s="6"/>
      <c r="EW77" s="6"/>
      <c r="EX77" s="6"/>
      <c r="EY77" s="6"/>
      <c r="EZ77" s="6"/>
      <c r="FA77" s="6"/>
      <c r="FB77" s="6"/>
      <c r="FC77" s="6"/>
      <c r="FD77" s="6"/>
      <c r="FE77" s="6"/>
      <c r="FF77" s="6"/>
      <c r="FG77" s="6"/>
      <c r="FH77" s="6"/>
      <c r="FI77" s="6"/>
      <c r="FJ77" s="6"/>
      <c r="FK77" s="6"/>
      <c r="FL77" s="6"/>
      <c r="FM77" s="6"/>
    </row>
    <row r="78" spans="1:169" x14ac:dyDescent="0.3">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c r="AI78" s="6"/>
      <c r="AJ78" s="6"/>
      <c r="AK78" s="6"/>
      <c r="AL78" s="6"/>
      <c r="AM78" s="6"/>
      <c r="AN78" s="6"/>
      <c r="AO78" s="6"/>
      <c r="AP78" s="6"/>
      <c r="AQ78" s="6"/>
      <c r="AR78" s="6"/>
      <c r="AS78" s="6"/>
      <c r="AT78" s="6"/>
      <c r="AU78" s="6"/>
      <c r="AV78" s="6"/>
      <c r="AW78" s="6"/>
      <c r="AX78" s="6"/>
      <c r="AY78" s="6"/>
      <c r="AZ78" s="6"/>
      <c r="BA78" s="6"/>
      <c r="BB78" s="6"/>
      <c r="BC78" s="6"/>
      <c r="BD78" s="6"/>
      <c r="BE78" s="6"/>
      <c r="BF78" s="6"/>
      <c r="BG78" s="6"/>
      <c r="BH78" s="6"/>
      <c r="BI78" s="6"/>
      <c r="BJ78" s="6"/>
      <c r="BK78" s="6"/>
      <c r="BL78" s="6"/>
      <c r="BM78" s="6"/>
      <c r="BN78" s="6"/>
      <c r="BO78" s="6"/>
      <c r="BP78" s="6"/>
      <c r="BQ78" s="6"/>
      <c r="BR78" s="6"/>
      <c r="BS78" s="6"/>
      <c r="BT78" s="6"/>
      <c r="BU78" s="6"/>
      <c r="BV78" s="6"/>
      <c r="BW78" s="6"/>
      <c r="BX78" s="6"/>
      <c r="BY78" s="6"/>
      <c r="BZ78" s="6"/>
      <c r="CA78" s="6"/>
      <c r="CB78" s="6"/>
      <c r="CC78" s="6"/>
      <c r="CD78" s="6"/>
      <c r="CE78" s="6"/>
      <c r="CF78" s="6"/>
      <c r="CG78" s="6"/>
      <c r="CH78" s="6"/>
      <c r="CI78" s="6"/>
      <c r="CJ78" s="6"/>
      <c r="CK78" s="6"/>
      <c r="CL78" s="6"/>
      <c r="CM78" s="6"/>
      <c r="CN78" s="6"/>
      <c r="CO78" s="6"/>
      <c r="CP78" s="6"/>
      <c r="CQ78" s="6"/>
      <c r="CR78" s="6"/>
      <c r="CS78" s="6"/>
      <c r="CT78" s="6"/>
      <c r="CU78" s="6"/>
      <c r="CV78" s="6"/>
      <c r="CW78" s="6"/>
      <c r="CX78" s="6"/>
      <c r="CY78" s="6"/>
      <c r="CZ78" s="6"/>
      <c r="DA78" s="6"/>
      <c r="DB78" s="6"/>
      <c r="DC78" s="6"/>
      <c r="DD78" s="6"/>
      <c r="DE78" s="6"/>
      <c r="DF78" s="6"/>
      <c r="DG78" s="6"/>
      <c r="DH78" s="6"/>
      <c r="DI78" s="6"/>
      <c r="DJ78" s="6"/>
      <c r="DK78" s="6"/>
      <c r="DL78" s="6"/>
      <c r="DM78" s="6"/>
      <c r="DN78" s="6"/>
      <c r="DO78" s="6"/>
      <c r="DP78" s="6"/>
      <c r="DQ78" s="6"/>
      <c r="DR78" s="6"/>
      <c r="DS78" s="6"/>
      <c r="DT78" s="6"/>
      <c r="DU78" s="6"/>
      <c r="DV78" s="6"/>
      <c r="DW78" s="6"/>
      <c r="DX78" s="6"/>
      <c r="DY78" s="6"/>
      <c r="DZ78" s="6"/>
      <c r="EA78" s="6"/>
      <c r="EB78" s="6"/>
      <c r="EC78" s="6"/>
      <c r="ED78" s="6"/>
      <c r="EE78" s="6"/>
      <c r="EF78" s="6"/>
      <c r="EG78" s="6"/>
      <c r="EH78" s="6"/>
      <c r="EI78" s="6"/>
      <c r="EJ78" s="6"/>
      <c r="EK78" s="6"/>
      <c r="EL78" s="6"/>
      <c r="EM78" s="6"/>
      <c r="EN78" s="6"/>
      <c r="EO78" s="6"/>
      <c r="EP78" s="6"/>
      <c r="EQ78" s="6"/>
      <c r="ER78" s="6"/>
      <c r="ES78" s="6"/>
      <c r="ET78" s="6"/>
      <c r="EU78" s="6"/>
      <c r="EV78" s="6"/>
      <c r="EW78" s="6"/>
      <c r="EX78" s="6"/>
      <c r="EY78" s="6"/>
      <c r="EZ78" s="6"/>
      <c r="FA78" s="6"/>
      <c r="FB78" s="6"/>
      <c r="FC78" s="6"/>
      <c r="FD78" s="6"/>
      <c r="FE78" s="6"/>
      <c r="FF78" s="6"/>
      <c r="FG78" s="6"/>
      <c r="FH78" s="6"/>
      <c r="FI78" s="6"/>
      <c r="FJ78" s="6"/>
      <c r="FK78" s="6"/>
      <c r="FL78" s="6"/>
      <c r="FM78" s="6"/>
    </row>
    <row r="79" spans="1:169" x14ac:dyDescent="0.3">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c r="AI79" s="6"/>
      <c r="AJ79" s="6"/>
      <c r="AK79" s="6"/>
      <c r="AL79" s="6"/>
      <c r="AM79" s="6"/>
      <c r="AN79" s="6"/>
      <c r="AO79" s="6"/>
      <c r="AP79" s="6"/>
      <c r="AQ79" s="6"/>
      <c r="AR79" s="6"/>
      <c r="AS79" s="6"/>
      <c r="AT79" s="6"/>
      <c r="AU79" s="6"/>
      <c r="AV79" s="6"/>
      <c r="AW79" s="6"/>
      <c r="AX79" s="6"/>
      <c r="AY79" s="6"/>
      <c r="AZ79" s="6"/>
      <c r="BA79" s="6"/>
      <c r="BB79" s="6"/>
      <c r="BC79" s="6"/>
      <c r="BD79" s="6"/>
      <c r="BE79" s="6"/>
      <c r="BF79" s="6"/>
      <c r="BG79" s="6"/>
      <c r="BH79" s="6"/>
      <c r="BI79" s="6"/>
      <c r="BJ79" s="6"/>
      <c r="BK79" s="6"/>
      <c r="BL79" s="6"/>
      <c r="BM79" s="6"/>
      <c r="BN79" s="6"/>
      <c r="BO79" s="6"/>
      <c r="BP79" s="6"/>
      <c r="BQ79" s="6"/>
      <c r="BR79" s="6"/>
      <c r="BS79" s="6"/>
      <c r="BT79" s="6"/>
      <c r="BU79" s="6"/>
      <c r="BV79" s="6"/>
      <c r="BW79" s="6"/>
      <c r="BX79" s="6"/>
      <c r="BY79" s="6"/>
      <c r="BZ79" s="6"/>
      <c r="CA79" s="6"/>
      <c r="CB79" s="6"/>
      <c r="CC79" s="6"/>
      <c r="CD79" s="6"/>
      <c r="CE79" s="6"/>
      <c r="CF79" s="6"/>
      <c r="CG79" s="6"/>
      <c r="CH79" s="6"/>
      <c r="CI79" s="6"/>
      <c r="CJ79" s="6"/>
      <c r="CK79" s="6"/>
      <c r="CL79" s="6"/>
      <c r="CM79" s="6"/>
      <c r="CN79" s="6"/>
      <c r="CO79" s="6"/>
      <c r="CP79" s="6"/>
      <c r="CQ79" s="6"/>
      <c r="CR79" s="6"/>
      <c r="CS79" s="6"/>
      <c r="CT79" s="6"/>
      <c r="CU79" s="6"/>
      <c r="CV79" s="6"/>
      <c r="CW79" s="6"/>
      <c r="CX79" s="6"/>
      <c r="CY79" s="6"/>
      <c r="CZ79" s="6"/>
      <c r="DA79" s="6"/>
      <c r="DB79" s="6"/>
      <c r="DC79" s="6"/>
      <c r="DD79" s="6"/>
      <c r="DE79" s="6"/>
      <c r="DF79" s="6"/>
      <c r="DG79" s="6"/>
      <c r="DH79" s="6"/>
      <c r="DI79" s="6"/>
      <c r="DJ79" s="6"/>
      <c r="DK79" s="6"/>
      <c r="DL79" s="6"/>
      <c r="DM79" s="6"/>
      <c r="DN79" s="6"/>
      <c r="DO79" s="6"/>
      <c r="DP79" s="6"/>
      <c r="DQ79" s="6"/>
      <c r="DR79" s="6"/>
      <c r="DS79" s="6"/>
      <c r="DT79" s="6"/>
      <c r="DU79" s="6"/>
      <c r="DV79" s="6"/>
      <c r="DW79" s="6"/>
      <c r="DX79" s="6"/>
      <c r="DY79" s="6"/>
      <c r="DZ79" s="6"/>
      <c r="EA79" s="6"/>
      <c r="EB79" s="6"/>
      <c r="EC79" s="6"/>
      <c r="ED79" s="6"/>
      <c r="EE79" s="6"/>
      <c r="EF79" s="6"/>
      <c r="EG79" s="6"/>
      <c r="EH79" s="6"/>
      <c r="EI79" s="6"/>
      <c r="EJ79" s="6"/>
      <c r="EK79" s="6"/>
      <c r="EL79" s="6"/>
      <c r="EM79" s="6"/>
      <c r="EN79" s="6"/>
      <c r="EO79" s="6"/>
      <c r="EP79" s="6"/>
      <c r="EQ79" s="6"/>
      <c r="ER79" s="6"/>
      <c r="ES79" s="6"/>
      <c r="ET79" s="6"/>
      <c r="EU79" s="6"/>
      <c r="EV79" s="6"/>
      <c r="EW79" s="6"/>
      <c r="EX79" s="6"/>
      <c r="EY79" s="6"/>
      <c r="EZ79" s="6"/>
      <c r="FA79" s="6"/>
      <c r="FB79" s="6"/>
      <c r="FC79" s="6"/>
      <c r="FD79" s="6"/>
      <c r="FE79" s="6"/>
      <c r="FF79" s="6"/>
      <c r="FG79" s="6"/>
      <c r="FH79" s="6"/>
      <c r="FI79" s="6"/>
      <c r="FJ79" s="6"/>
      <c r="FK79" s="6"/>
      <c r="FL79" s="6"/>
      <c r="FM79" s="6"/>
    </row>
    <row r="80" spans="1:169" x14ac:dyDescent="0.3">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c r="AI80" s="6"/>
      <c r="AJ80" s="6"/>
      <c r="AK80" s="6"/>
      <c r="AL80" s="6"/>
      <c r="AM80" s="6"/>
      <c r="AN80" s="6"/>
      <c r="AO80" s="6"/>
      <c r="AP80" s="6"/>
      <c r="AQ80" s="6"/>
      <c r="AR80" s="6"/>
      <c r="AS80" s="6"/>
      <c r="AT80" s="6"/>
      <c r="AU80" s="6"/>
      <c r="AV80" s="6"/>
      <c r="AW80" s="6"/>
      <c r="AX80" s="6"/>
      <c r="AY80" s="6"/>
      <c r="AZ80" s="6"/>
      <c r="BA80" s="6"/>
      <c r="BB80" s="6"/>
      <c r="BC80" s="6"/>
      <c r="BD80" s="6"/>
      <c r="BE80" s="6"/>
      <c r="BF80" s="6"/>
      <c r="BG80" s="6"/>
      <c r="BH80" s="6"/>
      <c r="BI80" s="6"/>
      <c r="BJ80" s="6"/>
      <c r="BK80" s="6"/>
      <c r="BL80" s="6"/>
      <c r="BM80" s="6"/>
      <c r="BN80" s="6"/>
      <c r="BO80" s="6"/>
      <c r="BP80" s="6"/>
      <c r="BQ80" s="6"/>
      <c r="BR80" s="6"/>
      <c r="BS80" s="6"/>
      <c r="BT80" s="6"/>
      <c r="BU80" s="6"/>
      <c r="BV80" s="6"/>
      <c r="BW80" s="6"/>
      <c r="BX80" s="6"/>
      <c r="BY80" s="6"/>
      <c r="BZ80" s="6"/>
      <c r="CA80" s="6"/>
      <c r="CB80" s="6"/>
      <c r="CC80" s="6"/>
      <c r="CD80" s="6"/>
      <c r="CE80" s="6"/>
      <c r="CF80" s="6"/>
      <c r="CG80" s="6"/>
      <c r="CH80" s="6"/>
      <c r="CI80" s="6"/>
      <c r="CJ80" s="6"/>
      <c r="CK80" s="6"/>
      <c r="CL80" s="6"/>
      <c r="CM80" s="6"/>
      <c r="CN80" s="6"/>
      <c r="CO80" s="6"/>
      <c r="CP80" s="6"/>
      <c r="CQ80" s="6"/>
      <c r="CR80" s="6"/>
      <c r="CS80" s="6"/>
      <c r="CT80" s="6"/>
      <c r="CU80" s="6"/>
      <c r="CV80" s="6"/>
      <c r="CW80" s="6"/>
      <c r="CX80" s="6"/>
      <c r="CY80" s="6"/>
      <c r="CZ80" s="6"/>
      <c r="DA80" s="6"/>
      <c r="DB80" s="6"/>
      <c r="DC80" s="6"/>
      <c r="DD80" s="6"/>
      <c r="DE80" s="6"/>
      <c r="DF80" s="6"/>
      <c r="DG80" s="6"/>
      <c r="DH80" s="6"/>
      <c r="DI80" s="6"/>
      <c r="DJ80" s="6"/>
      <c r="DK80" s="6"/>
      <c r="DL80" s="6"/>
      <c r="DM80" s="6"/>
      <c r="DN80" s="6"/>
      <c r="DO80" s="6"/>
      <c r="DP80" s="6"/>
      <c r="DQ80" s="6"/>
      <c r="DR80" s="6"/>
      <c r="DS80" s="6"/>
      <c r="DT80" s="6"/>
      <c r="DU80" s="6"/>
      <c r="DV80" s="6"/>
      <c r="DW80" s="6"/>
      <c r="DX80" s="6"/>
      <c r="DY80" s="6"/>
      <c r="DZ80" s="6"/>
      <c r="EA80" s="6"/>
      <c r="EB80" s="6"/>
      <c r="EC80" s="6"/>
      <c r="ED80" s="6"/>
      <c r="EE80" s="6"/>
      <c r="EF80" s="6"/>
      <c r="EG80" s="6"/>
      <c r="EH80" s="6"/>
      <c r="EI80" s="6"/>
      <c r="EJ80" s="6"/>
      <c r="EK80" s="6"/>
      <c r="EL80" s="6"/>
      <c r="EM80" s="6"/>
      <c r="EN80" s="6"/>
      <c r="EO80" s="6"/>
      <c r="EP80" s="6"/>
      <c r="EQ80" s="6"/>
      <c r="ER80" s="6"/>
      <c r="ES80" s="6"/>
      <c r="ET80" s="6"/>
      <c r="EU80" s="6"/>
      <c r="EV80" s="6"/>
      <c r="EW80" s="6"/>
      <c r="EX80" s="6"/>
      <c r="EY80" s="6"/>
      <c r="EZ80" s="6"/>
      <c r="FA80" s="6"/>
      <c r="FB80" s="6"/>
      <c r="FC80" s="6"/>
      <c r="FD80" s="6"/>
      <c r="FE80" s="6"/>
      <c r="FF80" s="6"/>
      <c r="FG80" s="6"/>
      <c r="FH80" s="6"/>
      <c r="FI80" s="6"/>
      <c r="FJ80" s="6"/>
      <c r="FK80" s="6"/>
      <c r="FL80" s="6"/>
      <c r="FM80" s="6"/>
    </row>
    <row r="81" spans="1:169" x14ac:dyDescent="0.3">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c r="AI81" s="6"/>
      <c r="AJ81" s="6"/>
      <c r="AK81" s="6"/>
      <c r="AL81" s="6"/>
      <c r="AM81" s="6"/>
      <c r="AN81" s="6"/>
      <c r="AO81" s="6"/>
      <c r="AP81" s="6"/>
      <c r="AQ81" s="6"/>
      <c r="AR81" s="6"/>
      <c r="AS81" s="6"/>
      <c r="AT81" s="6"/>
      <c r="AU81" s="6"/>
      <c r="AV81" s="6"/>
      <c r="AW81" s="6"/>
      <c r="AX81" s="6"/>
      <c r="AY81" s="6"/>
      <c r="AZ81" s="6"/>
      <c r="BA81" s="6"/>
      <c r="BB81" s="6"/>
      <c r="BC81" s="6"/>
      <c r="BD81" s="6"/>
      <c r="BE81" s="6"/>
      <c r="BF81" s="6"/>
      <c r="BG81" s="6"/>
      <c r="BH81" s="6"/>
      <c r="BI81" s="6"/>
      <c r="BJ81" s="6"/>
      <c r="BK81" s="6"/>
      <c r="BL81" s="6"/>
      <c r="BM81" s="6"/>
      <c r="BN81" s="6"/>
      <c r="BO81" s="6"/>
      <c r="BP81" s="6"/>
      <c r="BQ81" s="6"/>
      <c r="BR81" s="6"/>
      <c r="BS81" s="6"/>
      <c r="BT81" s="6"/>
      <c r="BU81" s="6"/>
      <c r="BV81" s="6"/>
      <c r="BW81" s="6"/>
      <c r="BX81" s="6"/>
      <c r="BY81" s="6"/>
      <c r="BZ81" s="6"/>
      <c r="CA81" s="6"/>
      <c r="CB81" s="6"/>
      <c r="CC81" s="6"/>
      <c r="CD81" s="6"/>
      <c r="CE81" s="6"/>
      <c r="CF81" s="6"/>
      <c r="CG81" s="6"/>
      <c r="CH81" s="6"/>
      <c r="CI81" s="6"/>
      <c r="CJ81" s="6"/>
      <c r="CK81" s="6"/>
      <c r="CL81" s="6"/>
      <c r="CM81" s="6"/>
      <c r="CN81" s="6"/>
      <c r="CO81" s="6"/>
      <c r="CP81" s="6"/>
      <c r="CQ81" s="6"/>
      <c r="CR81" s="6"/>
      <c r="CS81" s="6"/>
      <c r="CT81" s="6"/>
      <c r="CU81" s="6"/>
      <c r="CV81" s="6"/>
      <c r="CW81" s="6"/>
      <c r="CX81" s="6"/>
      <c r="CY81" s="6"/>
      <c r="CZ81" s="6"/>
      <c r="DA81" s="6"/>
      <c r="DB81" s="6"/>
      <c r="DC81" s="6"/>
      <c r="DD81" s="6"/>
      <c r="DE81" s="6"/>
      <c r="DF81" s="6"/>
      <c r="DG81" s="6"/>
      <c r="DH81" s="6"/>
      <c r="DI81" s="6"/>
      <c r="DJ81" s="6"/>
      <c r="DK81" s="6"/>
      <c r="DL81" s="6"/>
      <c r="DM81" s="6"/>
      <c r="DN81" s="6"/>
      <c r="DO81" s="6"/>
      <c r="DP81" s="6"/>
      <c r="DQ81" s="6"/>
      <c r="DR81" s="6"/>
      <c r="DS81" s="6"/>
      <c r="DT81" s="6"/>
      <c r="DU81" s="6"/>
      <c r="DV81" s="6"/>
      <c r="DW81" s="6"/>
      <c r="DX81" s="6"/>
      <c r="DY81" s="6"/>
      <c r="DZ81" s="6"/>
      <c r="EA81" s="6"/>
      <c r="EB81" s="6"/>
      <c r="EC81" s="6"/>
      <c r="ED81" s="6"/>
      <c r="EE81" s="6"/>
      <c r="EF81" s="6"/>
      <c r="EG81" s="6"/>
      <c r="EH81" s="6"/>
      <c r="EI81" s="6"/>
      <c r="EJ81" s="6"/>
      <c r="EK81" s="6"/>
      <c r="EL81" s="6"/>
      <c r="EM81" s="6"/>
      <c r="EN81" s="6"/>
      <c r="EO81" s="6"/>
      <c r="EP81" s="6"/>
      <c r="EQ81" s="6"/>
      <c r="ER81" s="6"/>
      <c r="ES81" s="6"/>
      <c r="ET81" s="6"/>
      <c r="EU81" s="6"/>
      <c r="EV81" s="6"/>
      <c r="EW81" s="6"/>
      <c r="EX81" s="6"/>
      <c r="EY81" s="6"/>
      <c r="EZ81" s="6"/>
      <c r="FA81" s="6"/>
      <c r="FB81" s="6"/>
      <c r="FC81" s="6"/>
      <c r="FD81" s="6"/>
      <c r="FE81" s="6"/>
      <c r="FF81" s="6"/>
      <c r="FG81" s="6"/>
      <c r="FH81" s="6"/>
      <c r="FI81" s="6"/>
      <c r="FJ81" s="6"/>
      <c r="FK81" s="6"/>
      <c r="FL81" s="6"/>
      <c r="FM81" s="6"/>
    </row>
    <row r="82" spans="1:169" x14ac:dyDescent="0.3">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c r="AI82" s="6"/>
      <c r="AJ82" s="6"/>
      <c r="AK82" s="6"/>
      <c r="AL82" s="6"/>
      <c r="AM82" s="6"/>
      <c r="AN82" s="6"/>
      <c r="AO82" s="6"/>
      <c r="AP82" s="6"/>
      <c r="AQ82" s="6"/>
      <c r="AR82" s="6"/>
      <c r="AS82" s="6"/>
      <c r="AT82" s="6"/>
      <c r="AU82" s="6"/>
      <c r="AV82" s="6"/>
      <c r="AW82" s="6"/>
      <c r="AX82" s="6"/>
      <c r="AY82" s="6"/>
      <c r="AZ82" s="6"/>
      <c r="BA82" s="6"/>
      <c r="BB82" s="6"/>
      <c r="BC82" s="6"/>
      <c r="BD82" s="6"/>
      <c r="BE82" s="6"/>
      <c r="BF82" s="6"/>
      <c r="BG82" s="6"/>
      <c r="BH82" s="6"/>
      <c r="BI82" s="6"/>
      <c r="BJ82" s="6"/>
      <c r="BK82" s="6"/>
      <c r="BL82" s="6"/>
      <c r="BM82" s="6"/>
      <c r="BN82" s="6"/>
      <c r="BO82" s="6"/>
      <c r="BP82" s="6"/>
      <c r="BQ82" s="6"/>
      <c r="BR82" s="6"/>
      <c r="BS82" s="6"/>
      <c r="BT82" s="6"/>
      <c r="BU82" s="6"/>
      <c r="BV82" s="6"/>
      <c r="BW82" s="6"/>
      <c r="BX82" s="6"/>
      <c r="BY82" s="6"/>
      <c r="BZ82" s="6"/>
      <c r="CA82" s="6"/>
      <c r="CB82" s="6"/>
      <c r="CC82" s="6"/>
      <c r="CD82" s="6"/>
      <c r="CE82" s="6"/>
      <c r="CF82" s="6"/>
      <c r="CG82" s="6"/>
      <c r="CH82" s="6"/>
      <c r="CI82" s="6"/>
      <c r="CJ82" s="6"/>
      <c r="CK82" s="6"/>
      <c r="CL82" s="6"/>
      <c r="CM82" s="6"/>
      <c r="CN82" s="6"/>
      <c r="CO82" s="6"/>
      <c r="CP82" s="6"/>
      <c r="CQ82" s="6"/>
      <c r="CR82" s="6"/>
      <c r="CS82" s="6"/>
      <c r="CT82" s="6"/>
      <c r="CU82" s="6"/>
      <c r="CV82" s="6"/>
      <c r="CW82" s="6"/>
      <c r="CX82" s="6"/>
      <c r="CY82" s="6"/>
      <c r="CZ82" s="6"/>
      <c r="DA82" s="6"/>
      <c r="DB82" s="6"/>
      <c r="DC82" s="6"/>
      <c r="DD82" s="6"/>
      <c r="DE82" s="6"/>
      <c r="DF82" s="6"/>
      <c r="DG82" s="6"/>
      <c r="DH82" s="6"/>
      <c r="DI82" s="6"/>
      <c r="DJ82" s="6"/>
      <c r="DK82" s="6"/>
      <c r="DL82" s="6"/>
      <c r="DM82" s="6"/>
      <c r="DN82" s="6"/>
      <c r="DO82" s="6"/>
      <c r="DP82" s="6"/>
      <c r="DQ82" s="6"/>
      <c r="DR82" s="6"/>
      <c r="DS82" s="6"/>
      <c r="DT82" s="6"/>
      <c r="DU82" s="6"/>
      <c r="DV82" s="6"/>
      <c r="DW82" s="6"/>
      <c r="DX82" s="6"/>
      <c r="DY82" s="6"/>
      <c r="DZ82" s="6"/>
      <c r="EA82" s="6"/>
      <c r="EB82" s="6"/>
      <c r="EC82" s="6"/>
      <c r="ED82" s="6"/>
      <c r="EE82" s="6"/>
      <c r="EF82" s="6"/>
      <c r="EG82" s="6"/>
      <c r="EH82" s="6"/>
      <c r="EI82" s="6"/>
      <c r="EJ82" s="6"/>
      <c r="EK82" s="6"/>
      <c r="EL82" s="6"/>
      <c r="EM82" s="6"/>
      <c r="EN82" s="6"/>
      <c r="EO82" s="6"/>
      <c r="EP82" s="6"/>
      <c r="EQ82" s="6"/>
      <c r="ER82" s="6"/>
      <c r="ES82" s="6"/>
      <c r="ET82" s="6"/>
      <c r="EU82" s="6"/>
      <c r="EV82" s="6"/>
      <c r="EW82" s="6"/>
      <c r="EX82" s="6"/>
      <c r="EY82" s="6"/>
      <c r="EZ82" s="6"/>
      <c r="FA82" s="6"/>
      <c r="FB82" s="6"/>
      <c r="FC82" s="6"/>
      <c r="FD82" s="6"/>
      <c r="FE82" s="6"/>
      <c r="FF82" s="6"/>
      <c r="FG82" s="6"/>
      <c r="FH82" s="6"/>
      <c r="FI82" s="6"/>
      <c r="FJ82" s="6"/>
      <c r="FK82" s="6"/>
      <c r="FL82" s="6"/>
      <c r="FM82" s="6"/>
    </row>
    <row r="83" spans="1:169" x14ac:dyDescent="0.3">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c r="AI83" s="6"/>
      <c r="AJ83" s="6"/>
      <c r="AK83" s="6"/>
      <c r="AL83" s="6"/>
      <c r="AM83" s="6"/>
      <c r="AN83" s="6"/>
      <c r="AO83" s="6"/>
      <c r="AP83" s="6"/>
      <c r="AQ83" s="6"/>
      <c r="AR83" s="6"/>
      <c r="AS83" s="6"/>
      <c r="AT83" s="6"/>
      <c r="AU83" s="6"/>
      <c r="AV83" s="6"/>
      <c r="AW83" s="6"/>
      <c r="AX83" s="6"/>
      <c r="AY83" s="6"/>
      <c r="AZ83" s="6"/>
      <c r="BA83" s="6"/>
      <c r="BB83" s="6"/>
      <c r="BC83" s="6"/>
      <c r="BD83" s="6"/>
      <c r="BE83" s="6"/>
      <c r="BF83" s="6"/>
      <c r="BG83" s="6"/>
      <c r="BH83" s="6"/>
      <c r="BI83" s="6"/>
      <c r="BJ83" s="6"/>
      <c r="BK83" s="6"/>
      <c r="BL83" s="6"/>
      <c r="BM83" s="6"/>
      <c r="BN83" s="6"/>
      <c r="BO83" s="6"/>
      <c r="BP83" s="6"/>
      <c r="BQ83" s="6"/>
      <c r="BR83" s="6"/>
      <c r="BS83" s="6"/>
      <c r="BT83" s="6"/>
      <c r="BU83" s="6"/>
      <c r="BV83" s="6"/>
      <c r="BW83" s="6"/>
      <c r="BX83" s="6"/>
      <c r="BY83" s="6"/>
      <c r="BZ83" s="6"/>
      <c r="CA83" s="6"/>
      <c r="CB83" s="6"/>
      <c r="CC83" s="6"/>
      <c r="CD83" s="6"/>
      <c r="CE83" s="6"/>
      <c r="CF83" s="6"/>
      <c r="CG83" s="6"/>
      <c r="CH83" s="6"/>
      <c r="CI83" s="6"/>
      <c r="CJ83" s="6"/>
      <c r="CK83" s="6"/>
      <c r="CL83" s="6"/>
      <c r="CM83" s="6"/>
      <c r="CN83" s="6"/>
      <c r="CO83" s="6"/>
      <c r="CP83" s="6"/>
      <c r="CQ83" s="6"/>
      <c r="CR83" s="6"/>
      <c r="CS83" s="6"/>
      <c r="CT83" s="6"/>
      <c r="CU83" s="6"/>
      <c r="CV83" s="6"/>
      <c r="CW83" s="6"/>
      <c r="CX83" s="6"/>
      <c r="CY83" s="6"/>
      <c r="CZ83" s="6"/>
      <c r="DA83" s="6"/>
      <c r="DB83" s="6"/>
      <c r="DC83" s="6"/>
      <c r="DD83" s="6"/>
      <c r="DE83" s="6"/>
      <c r="DF83" s="6"/>
      <c r="DG83" s="6"/>
      <c r="DH83" s="6"/>
      <c r="DI83" s="6"/>
      <c r="DJ83" s="6"/>
      <c r="DK83" s="6"/>
      <c r="DL83" s="6"/>
      <c r="DM83" s="6"/>
      <c r="DN83" s="6"/>
      <c r="DO83" s="6"/>
      <c r="DP83" s="6"/>
      <c r="DQ83" s="6"/>
      <c r="DR83" s="6"/>
      <c r="DS83" s="6"/>
      <c r="DT83" s="6"/>
      <c r="DU83" s="6"/>
      <c r="DV83" s="6"/>
      <c r="DW83" s="6"/>
      <c r="DX83" s="6"/>
      <c r="DY83" s="6"/>
      <c r="DZ83" s="6"/>
      <c r="EA83" s="6"/>
      <c r="EB83" s="6"/>
      <c r="EC83" s="6"/>
      <c r="ED83" s="6"/>
      <c r="EE83" s="6"/>
      <c r="EF83" s="6"/>
      <c r="EG83" s="6"/>
      <c r="EH83" s="6"/>
      <c r="EI83" s="6"/>
      <c r="EJ83" s="6"/>
      <c r="EK83" s="6"/>
      <c r="EL83" s="6"/>
      <c r="EM83" s="6"/>
      <c r="EN83" s="6"/>
      <c r="EO83" s="6"/>
      <c r="EP83" s="6"/>
      <c r="EQ83" s="6"/>
      <c r="ER83" s="6"/>
      <c r="ES83" s="6"/>
      <c r="ET83" s="6"/>
      <c r="EU83" s="6"/>
      <c r="EV83" s="6"/>
      <c r="EW83" s="6"/>
      <c r="EX83" s="6"/>
      <c r="EY83" s="6"/>
      <c r="EZ83" s="6"/>
      <c r="FA83" s="6"/>
      <c r="FB83" s="6"/>
      <c r="FC83" s="6"/>
      <c r="FD83" s="6"/>
      <c r="FE83" s="6"/>
      <c r="FF83" s="6"/>
      <c r="FG83" s="6"/>
      <c r="FH83" s="6"/>
      <c r="FI83" s="6"/>
      <c r="FJ83" s="6"/>
      <c r="FK83" s="6"/>
      <c r="FL83" s="6"/>
      <c r="FM83" s="6"/>
    </row>
    <row r="84" spans="1:169" x14ac:dyDescent="0.3">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c r="AI84" s="6"/>
      <c r="AJ84" s="6"/>
      <c r="AK84" s="6"/>
      <c r="AL84" s="6"/>
      <c r="AM84" s="6"/>
      <c r="AN84" s="6"/>
      <c r="AO84" s="6"/>
      <c r="AP84" s="6"/>
      <c r="AQ84" s="6"/>
      <c r="AR84" s="6"/>
      <c r="AS84" s="6"/>
      <c r="AT84" s="6"/>
      <c r="AU84" s="6"/>
      <c r="AV84" s="6"/>
      <c r="AW84" s="6"/>
      <c r="AX84" s="6"/>
      <c r="AY84" s="6"/>
      <c r="AZ84" s="6"/>
      <c r="BA84" s="6"/>
      <c r="BB84" s="6"/>
      <c r="BC84" s="6"/>
      <c r="BD84" s="6"/>
      <c r="BE84" s="6"/>
      <c r="BF84" s="6"/>
      <c r="BG84" s="6"/>
      <c r="BH84" s="6"/>
      <c r="BI84" s="6"/>
      <c r="BJ84" s="6"/>
      <c r="BK84" s="6"/>
      <c r="BL84" s="6"/>
      <c r="BM84" s="6"/>
      <c r="BN84" s="6"/>
      <c r="BO84" s="6"/>
      <c r="BP84" s="6"/>
      <c r="BQ84" s="6"/>
      <c r="BR84" s="6"/>
      <c r="BS84" s="6"/>
      <c r="BT84" s="6"/>
      <c r="BU84" s="6"/>
      <c r="BV84" s="6"/>
      <c r="BW84" s="6"/>
      <c r="BX84" s="6"/>
      <c r="BY84" s="6"/>
      <c r="BZ84" s="6"/>
      <c r="CA84" s="6"/>
      <c r="CB84" s="6"/>
      <c r="CC84" s="6"/>
      <c r="CD84" s="6"/>
      <c r="CE84" s="6"/>
      <c r="CF84" s="6"/>
      <c r="CG84" s="6"/>
      <c r="CH84" s="6"/>
      <c r="CI84" s="6"/>
      <c r="CJ84" s="6"/>
      <c r="CK84" s="6"/>
      <c r="CL84" s="6"/>
      <c r="CM84" s="6"/>
      <c r="CN84" s="6"/>
      <c r="CO84" s="6"/>
      <c r="CP84" s="6"/>
      <c r="CQ84" s="6"/>
      <c r="CR84" s="6"/>
      <c r="CS84" s="6"/>
      <c r="CT84" s="6"/>
      <c r="CU84" s="6"/>
      <c r="CV84" s="6"/>
      <c r="CW84" s="6"/>
      <c r="CX84" s="6"/>
      <c r="CY84" s="6"/>
      <c r="CZ84" s="6"/>
      <c r="DA84" s="6"/>
      <c r="DB84" s="6"/>
      <c r="DC84" s="6"/>
      <c r="DD84" s="6"/>
      <c r="DE84" s="6"/>
      <c r="DF84" s="6"/>
      <c r="DG84" s="6"/>
      <c r="DH84" s="6"/>
      <c r="DI84" s="6"/>
      <c r="DJ84" s="6"/>
      <c r="DK84" s="6"/>
      <c r="DL84" s="6"/>
      <c r="DM84" s="6"/>
      <c r="DN84" s="6"/>
      <c r="DO84" s="6"/>
      <c r="DP84" s="6"/>
      <c r="DQ84" s="6"/>
      <c r="DR84" s="6"/>
      <c r="DS84" s="6"/>
      <c r="DT84" s="6"/>
      <c r="DU84" s="6"/>
      <c r="DV84" s="6"/>
      <c r="DW84" s="6"/>
      <c r="DX84" s="6"/>
      <c r="DY84" s="6"/>
      <c r="DZ84" s="6"/>
      <c r="EA84" s="6"/>
      <c r="EB84" s="6"/>
      <c r="EC84" s="6"/>
      <c r="ED84" s="6"/>
      <c r="EE84" s="6"/>
      <c r="EF84" s="6"/>
      <c r="EG84" s="6"/>
      <c r="EH84" s="6"/>
      <c r="EI84" s="6"/>
      <c r="EJ84" s="6"/>
      <c r="EK84" s="6"/>
      <c r="EL84" s="6"/>
      <c r="EM84" s="6"/>
      <c r="EN84" s="6"/>
      <c r="EO84" s="6"/>
      <c r="EP84" s="6"/>
      <c r="EQ84" s="6"/>
      <c r="ER84" s="6"/>
      <c r="ES84" s="6"/>
      <c r="ET84" s="6"/>
      <c r="EU84" s="6"/>
      <c r="EV84" s="6"/>
      <c r="EW84" s="6"/>
      <c r="EX84" s="6"/>
      <c r="EY84" s="6"/>
      <c r="EZ84" s="6"/>
      <c r="FA84" s="6"/>
      <c r="FB84" s="6"/>
      <c r="FC84" s="6"/>
      <c r="FD84" s="6"/>
      <c r="FE84" s="6"/>
      <c r="FF84" s="6"/>
      <c r="FG84" s="6"/>
      <c r="FH84" s="6"/>
      <c r="FI84" s="6"/>
      <c r="FJ84" s="6"/>
      <c r="FK84" s="6"/>
      <c r="FL84" s="6"/>
      <c r="FM84" s="6"/>
    </row>
    <row r="85" spans="1:169" x14ac:dyDescent="0.3">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c r="AI85" s="6"/>
      <c r="AJ85" s="6"/>
      <c r="AK85" s="6"/>
      <c r="AL85" s="6"/>
      <c r="AM85" s="6"/>
      <c r="AN85" s="6"/>
      <c r="AO85" s="6"/>
      <c r="AP85" s="6"/>
      <c r="AQ85" s="6"/>
      <c r="AR85" s="6"/>
      <c r="AS85" s="6"/>
      <c r="AT85" s="6"/>
      <c r="AU85" s="6"/>
      <c r="AV85" s="6"/>
      <c r="AW85" s="6"/>
      <c r="AX85" s="6"/>
      <c r="AY85" s="6"/>
      <c r="AZ85" s="6"/>
      <c r="BA85" s="6"/>
      <c r="BB85" s="6"/>
      <c r="BC85" s="6"/>
      <c r="BD85" s="6"/>
      <c r="BE85" s="6"/>
      <c r="BF85" s="6"/>
      <c r="BG85" s="6"/>
      <c r="BH85" s="6"/>
      <c r="BI85" s="6"/>
      <c r="BJ85" s="6"/>
      <c r="BK85" s="6"/>
      <c r="BL85" s="6"/>
      <c r="BM85" s="6"/>
      <c r="BN85" s="6"/>
      <c r="BO85" s="6"/>
      <c r="BP85" s="6"/>
      <c r="BQ85" s="6"/>
      <c r="BR85" s="6"/>
      <c r="BS85" s="6"/>
      <c r="BT85" s="6"/>
      <c r="BU85" s="6"/>
      <c r="BV85" s="6"/>
      <c r="BW85" s="6"/>
      <c r="BX85" s="6"/>
      <c r="BY85" s="6"/>
      <c r="BZ85" s="6"/>
      <c r="CA85" s="6"/>
      <c r="CB85" s="6"/>
      <c r="CC85" s="6"/>
      <c r="CD85" s="6"/>
      <c r="CE85" s="6"/>
      <c r="CF85" s="6"/>
      <c r="CG85" s="6"/>
      <c r="CH85" s="6"/>
      <c r="CI85" s="6"/>
      <c r="CJ85" s="6"/>
      <c r="CK85" s="6"/>
      <c r="CL85" s="6"/>
      <c r="CM85" s="6"/>
      <c r="CN85" s="6"/>
      <c r="CO85" s="6"/>
      <c r="CP85" s="6"/>
      <c r="CQ85" s="6"/>
      <c r="CR85" s="6"/>
      <c r="CS85" s="6"/>
      <c r="CT85" s="6"/>
      <c r="CU85" s="6"/>
      <c r="CV85" s="6"/>
      <c r="CW85" s="6"/>
      <c r="CX85" s="6"/>
      <c r="CY85" s="6"/>
      <c r="CZ85" s="6"/>
      <c r="DA85" s="6"/>
      <c r="DB85" s="6"/>
      <c r="DC85" s="6"/>
      <c r="DD85" s="6"/>
      <c r="DE85" s="6"/>
      <c r="DF85" s="6"/>
      <c r="DG85" s="6"/>
      <c r="DH85" s="6"/>
      <c r="DI85" s="6"/>
      <c r="DJ85" s="6"/>
      <c r="DK85" s="6"/>
      <c r="DL85" s="6"/>
      <c r="DM85" s="6"/>
      <c r="DN85" s="6"/>
      <c r="DO85" s="6"/>
      <c r="DP85" s="6"/>
      <c r="DQ85" s="6"/>
      <c r="DR85" s="6"/>
      <c r="DS85" s="6"/>
      <c r="DT85" s="6"/>
      <c r="DU85" s="6"/>
      <c r="DV85" s="6"/>
      <c r="DW85" s="6"/>
      <c r="DX85" s="6"/>
      <c r="DY85" s="6"/>
      <c r="DZ85" s="6"/>
      <c r="EA85" s="6"/>
      <c r="EB85" s="6"/>
      <c r="EC85" s="6"/>
      <c r="ED85" s="6"/>
      <c r="EE85" s="6"/>
      <c r="EF85" s="6"/>
      <c r="EG85" s="6"/>
      <c r="EH85" s="6"/>
      <c r="EI85" s="6"/>
      <c r="EJ85" s="6"/>
      <c r="EK85" s="6"/>
      <c r="EL85" s="6"/>
      <c r="EM85" s="6"/>
      <c r="EN85" s="6"/>
      <c r="EO85" s="6"/>
      <c r="EP85" s="6"/>
      <c r="EQ85" s="6"/>
      <c r="ER85" s="6"/>
      <c r="ES85" s="6"/>
      <c r="ET85" s="6"/>
      <c r="EU85" s="6"/>
      <c r="EV85" s="6"/>
      <c r="EW85" s="6"/>
      <c r="EX85" s="6"/>
      <c r="EY85" s="6"/>
      <c r="EZ85" s="6"/>
      <c r="FA85" s="6"/>
      <c r="FB85" s="6"/>
      <c r="FC85" s="6"/>
      <c r="FD85" s="6"/>
      <c r="FE85" s="6"/>
      <c r="FF85" s="6"/>
      <c r="FG85" s="6"/>
      <c r="FH85" s="6"/>
      <c r="FI85" s="6"/>
      <c r="FJ85" s="6"/>
      <c r="FK85" s="6"/>
      <c r="FL85" s="6"/>
      <c r="FM85" s="6"/>
    </row>
    <row r="86" spans="1:169" x14ac:dyDescent="0.3">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c r="AI86" s="6"/>
      <c r="AJ86" s="6"/>
      <c r="AK86" s="6"/>
      <c r="AL86" s="6"/>
      <c r="AM86" s="6"/>
      <c r="AN86" s="6"/>
      <c r="AO86" s="6"/>
      <c r="AP86" s="6"/>
      <c r="AQ86" s="6"/>
      <c r="AR86" s="6"/>
      <c r="AS86" s="6"/>
      <c r="AT86" s="6"/>
      <c r="AU86" s="6"/>
      <c r="AV86" s="6"/>
      <c r="AW86" s="6"/>
      <c r="AX86" s="6"/>
      <c r="AY86" s="6"/>
      <c r="AZ86" s="6"/>
      <c r="BA86" s="6"/>
      <c r="BB86" s="6"/>
      <c r="BC86" s="6"/>
      <c r="BD86" s="6"/>
      <c r="BE86" s="6"/>
      <c r="BF86" s="6"/>
      <c r="BG86" s="6"/>
      <c r="BH86" s="6"/>
      <c r="BI86" s="6"/>
      <c r="BJ86" s="6"/>
      <c r="BK86" s="6"/>
      <c r="BL86" s="6"/>
      <c r="BM86" s="6"/>
      <c r="BN86" s="6"/>
      <c r="BO86" s="6"/>
      <c r="BP86" s="6"/>
      <c r="BQ86" s="6"/>
      <c r="BR86" s="6"/>
      <c r="BS86" s="6"/>
      <c r="BT86" s="6"/>
      <c r="BU86" s="6"/>
      <c r="BV86" s="6"/>
      <c r="BW86" s="6"/>
      <c r="BX86" s="6"/>
      <c r="BY86" s="6"/>
      <c r="BZ86" s="6"/>
      <c r="CA86" s="6"/>
      <c r="CB86" s="6"/>
      <c r="CC86" s="6"/>
      <c r="CD86" s="6"/>
      <c r="CE86" s="6"/>
      <c r="CF86" s="6"/>
      <c r="CG86" s="6"/>
      <c r="CH86" s="6"/>
      <c r="CI86" s="6"/>
      <c r="CJ86" s="6"/>
      <c r="CK86" s="6"/>
      <c r="CL86" s="6"/>
      <c r="CM86" s="6"/>
      <c r="CN86" s="6"/>
      <c r="CO86" s="6"/>
      <c r="CP86" s="6"/>
      <c r="CQ86" s="6"/>
      <c r="CR86" s="6"/>
      <c r="CS86" s="6"/>
      <c r="CT86" s="6"/>
      <c r="CU86" s="6"/>
      <c r="CV86" s="6"/>
      <c r="CW86" s="6"/>
      <c r="CX86" s="6"/>
      <c r="CY86" s="6"/>
      <c r="CZ86" s="6"/>
      <c r="DA86" s="6"/>
      <c r="DB86" s="6"/>
      <c r="DC86" s="6"/>
      <c r="DD86" s="6"/>
      <c r="DE86" s="6"/>
      <c r="DF86" s="6"/>
      <c r="DG86" s="6"/>
      <c r="DH86" s="6"/>
      <c r="DI86" s="6"/>
      <c r="DJ86" s="6"/>
      <c r="DK86" s="6"/>
      <c r="DL86" s="6"/>
      <c r="DM86" s="6"/>
      <c r="DN86" s="6"/>
      <c r="DO86" s="6"/>
      <c r="DP86" s="6"/>
      <c r="DQ86" s="6"/>
      <c r="DR86" s="6"/>
      <c r="DS86" s="6"/>
      <c r="DT86" s="6"/>
      <c r="DU86" s="6"/>
      <c r="DV86" s="6"/>
      <c r="DW86" s="6"/>
      <c r="DX86" s="6"/>
      <c r="DY86" s="6"/>
      <c r="DZ86" s="6"/>
      <c r="EA86" s="6"/>
      <c r="EB86" s="6"/>
      <c r="EC86" s="6"/>
      <c r="ED86" s="6"/>
      <c r="EE86" s="6"/>
      <c r="EF86" s="6"/>
      <c r="EG86" s="6"/>
      <c r="EH86" s="6"/>
      <c r="EI86" s="6"/>
      <c r="EJ86" s="6"/>
      <c r="EK86" s="6"/>
      <c r="EL86" s="6"/>
      <c r="EM86" s="6"/>
      <c r="EN86" s="6"/>
      <c r="EO86" s="6"/>
      <c r="EP86" s="6"/>
      <c r="EQ86" s="6"/>
      <c r="ER86" s="6"/>
      <c r="ES86" s="6"/>
      <c r="ET86" s="6"/>
      <c r="EU86" s="6"/>
      <c r="EV86" s="6"/>
      <c r="EW86" s="6"/>
      <c r="EX86" s="6"/>
      <c r="EY86" s="6"/>
      <c r="EZ86" s="6"/>
      <c r="FA86" s="6"/>
      <c r="FB86" s="6"/>
      <c r="FC86" s="6"/>
      <c r="FD86" s="6"/>
      <c r="FE86" s="6"/>
      <c r="FF86" s="6"/>
      <c r="FG86" s="6"/>
      <c r="FH86" s="6"/>
      <c r="FI86" s="6"/>
      <c r="FJ86" s="6"/>
      <c r="FK86" s="6"/>
      <c r="FL86" s="6"/>
      <c r="FM86" s="6"/>
    </row>
    <row r="87" spans="1:169" x14ac:dyDescent="0.3">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c r="AI87" s="6"/>
      <c r="AJ87" s="6"/>
      <c r="AK87" s="6"/>
      <c r="AL87" s="6"/>
      <c r="AM87" s="6"/>
      <c r="AN87" s="6"/>
      <c r="AO87" s="6"/>
      <c r="AP87" s="6"/>
      <c r="AQ87" s="6"/>
      <c r="AR87" s="6"/>
      <c r="AS87" s="6"/>
      <c r="AT87" s="6"/>
      <c r="AU87" s="6"/>
      <c r="AV87" s="6"/>
      <c r="AW87" s="6"/>
      <c r="AX87" s="6"/>
      <c r="AY87" s="6"/>
      <c r="AZ87" s="6"/>
      <c r="BA87" s="6"/>
      <c r="BB87" s="6"/>
      <c r="BC87" s="6"/>
      <c r="BD87" s="6"/>
      <c r="BE87" s="6"/>
      <c r="BF87" s="6"/>
      <c r="BG87" s="6"/>
      <c r="BH87" s="6"/>
      <c r="BI87" s="6"/>
      <c r="BJ87" s="6"/>
      <c r="BK87" s="6"/>
      <c r="BL87" s="6"/>
      <c r="BM87" s="6"/>
      <c r="BN87" s="6"/>
      <c r="BO87" s="6"/>
      <c r="BP87" s="6"/>
      <c r="BQ87" s="6"/>
      <c r="BR87" s="6"/>
      <c r="BS87" s="6"/>
      <c r="BT87" s="6"/>
      <c r="BU87" s="6"/>
      <c r="BV87" s="6"/>
      <c r="BW87" s="6"/>
      <c r="BX87" s="6"/>
      <c r="BY87" s="6"/>
      <c r="BZ87" s="6"/>
      <c r="CA87" s="6"/>
      <c r="CB87" s="6"/>
      <c r="CC87" s="6"/>
      <c r="CD87" s="6"/>
      <c r="CE87" s="6"/>
      <c r="CF87" s="6"/>
      <c r="CG87" s="6"/>
      <c r="CH87" s="6"/>
      <c r="CI87" s="6"/>
      <c r="CJ87" s="6"/>
      <c r="CK87" s="6"/>
      <c r="CL87" s="6"/>
      <c r="CM87" s="6"/>
      <c r="CN87" s="6"/>
      <c r="CO87" s="6"/>
      <c r="CP87" s="6"/>
      <c r="CQ87" s="6"/>
      <c r="CR87" s="6"/>
      <c r="CS87" s="6"/>
      <c r="CT87" s="6"/>
      <c r="CU87" s="6"/>
      <c r="CV87" s="6"/>
      <c r="CW87" s="6"/>
      <c r="CX87" s="6"/>
      <c r="CY87" s="6"/>
      <c r="CZ87" s="6"/>
      <c r="DA87" s="6"/>
      <c r="DB87" s="6"/>
      <c r="DC87" s="6"/>
      <c r="DD87" s="6"/>
      <c r="DE87" s="6"/>
      <c r="DF87" s="6"/>
      <c r="DG87" s="6"/>
      <c r="DH87" s="6"/>
      <c r="DI87" s="6"/>
      <c r="DJ87" s="6"/>
      <c r="DK87" s="6"/>
      <c r="DL87" s="6"/>
      <c r="DM87" s="6"/>
      <c r="DN87" s="6"/>
      <c r="DO87" s="6"/>
      <c r="DP87" s="6"/>
      <c r="DQ87" s="6"/>
      <c r="DR87" s="6"/>
      <c r="DS87" s="6"/>
      <c r="DT87" s="6"/>
      <c r="DU87" s="6"/>
      <c r="DV87" s="6"/>
      <c r="DW87" s="6"/>
      <c r="DX87" s="6"/>
      <c r="DY87" s="6"/>
      <c r="DZ87" s="6"/>
      <c r="EA87" s="6"/>
      <c r="EB87" s="6"/>
      <c r="EC87" s="6"/>
      <c r="ED87" s="6"/>
      <c r="EE87" s="6"/>
      <c r="EF87" s="6"/>
      <c r="EG87" s="6"/>
      <c r="EH87" s="6"/>
      <c r="EI87" s="6"/>
      <c r="EJ87" s="6"/>
      <c r="EK87" s="6"/>
      <c r="EL87" s="6"/>
      <c r="EM87" s="6"/>
      <c r="EN87" s="6"/>
      <c r="EO87" s="6"/>
      <c r="EP87" s="6"/>
      <c r="EQ87" s="6"/>
      <c r="ER87" s="6"/>
      <c r="ES87" s="6"/>
      <c r="ET87" s="6"/>
      <c r="EU87" s="6"/>
      <c r="EV87" s="6"/>
      <c r="EW87" s="6"/>
      <c r="EX87" s="6"/>
      <c r="EY87" s="6"/>
      <c r="EZ87" s="6"/>
      <c r="FA87" s="6"/>
      <c r="FB87" s="6"/>
      <c r="FC87" s="6"/>
      <c r="FD87" s="6"/>
      <c r="FE87" s="6"/>
      <c r="FF87" s="6"/>
      <c r="FG87" s="6"/>
      <c r="FH87" s="6"/>
      <c r="FI87" s="6"/>
      <c r="FJ87" s="6"/>
      <c r="FK87" s="6"/>
      <c r="FL87" s="6"/>
      <c r="FM87" s="6"/>
    </row>
    <row r="88" spans="1:169" x14ac:dyDescent="0.3">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c r="AI88" s="6"/>
      <c r="AJ88" s="6"/>
      <c r="AK88" s="6"/>
      <c r="AL88" s="6"/>
      <c r="AM88" s="6"/>
      <c r="AN88" s="6"/>
      <c r="AO88" s="6"/>
      <c r="AP88" s="6"/>
      <c r="AQ88" s="6"/>
      <c r="AR88" s="6"/>
      <c r="AS88" s="6"/>
      <c r="AT88" s="6"/>
      <c r="AU88" s="6"/>
      <c r="AV88" s="6"/>
      <c r="AW88" s="6"/>
      <c r="AX88" s="6"/>
      <c r="AY88" s="6"/>
      <c r="AZ88" s="6"/>
      <c r="BA88" s="6"/>
      <c r="BB88" s="6"/>
      <c r="BC88" s="6"/>
      <c r="BD88" s="6"/>
      <c r="BE88" s="6"/>
      <c r="BF88" s="6"/>
      <c r="BG88" s="6"/>
      <c r="BH88" s="6"/>
      <c r="BI88" s="6"/>
      <c r="BJ88" s="6"/>
      <c r="BK88" s="6"/>
      <c r="BL88" s="6"/>
      <c r="BM88" s="6"/>
      <c r="BN88" s="6"/>
      <c r="BO88" s="6"/>
      <c r="BP88" s="6"/>
      <c r="BQ88" s="6"/>
      <c r="BR88" s="6"/>
      <c r="BS88" s="6"/>
      <c r="BT88" s="6"/>
      <c r="BU88" s="6"/>
      <c r="BV88" s="6"/>
      <c r="BW88" s="6"/>
      <c r="BX88" s="6"/>
      <c r="BY88" s="6"/>
      <c r="BZ88" s="6"/>
      <c r="CA88" s="6"/>
      <c r="CB88" s="6"/>
      <c r="CC88" s="6"/>
      <c r="CD88" s="6"/>
      <c r="CE88" s="6"/>
      <c r="CF88" s="6"/>
      <c r="CG88" s="6"/>
      <c r="CH88" s="6"/>
      <c r="CI88" s="6"/>
      <c r="CJ88" s="6"/>
      <c r="CK88" s="6"/>
      <c r="CL88" s="6"/>
      <c r="CM88" s="6"/>
      <c r="CN88" s="6"/>
      <c r="CO88" s="6"/>
      <c r="CP88" s="6"/>
      <c r="CQ88" s="6"/>
      <c r="CR88" s="6"/>
      <c r="CS88" s="6"/>
      <c r="CT88" s="6"/>
      <c r="CU88" s="6"/>
      <c r="CV88" s="6"/>
      <c r="CW88" s="6"/>
      <c r="CX88" s="6"/>
      <c r="CY88" s="6"/>
      <c r="CZ88" s="6"/>
      <c r="DA88" s="6"/>
      <c r="DB88" s="6"/>
      <c r="DC88" s="6"/>
      <c r="DD88" s="6"/>
      <c r="DE88" s="6"/>
      <c r="DF88" s="6"/>
      <c r="DG88" s="6"/>
      <c r="DH88" s="6"/>
      <c r="DI88" s="6"/>
      <c r="DJ88" s="6"/>
      <c r="DK88" s="6"/>
      <c r="DL88" s="6"/>
      <c r="DM88" s="6"/>
      <c r="DN88" s="6"/>
      <c r="DO88" s="6"/>
      <c r="DP88" s="6"/>
      <c r="DQ88" s="6"/>
      <c r="DR88" s="6"/>
      <c r="DS88" s="6"/>
      <c r="DT88" s="6"/>
      <c r="DU88" s="6"/>
      <c r="DV88" s="6"/>
      <c r="DW88" s="6"/>
      <c r="DX88" s="6"/>
      <c r="DY88" s="6"/>
      <c r="DZ88" s="6"/>
      <c r="EA88" s="6"/>
      <c r="EB88" s="6"/>
      <c r="EC88" s="6"/>
      <c r="ED88" s="6"/>
      <c r="EE88" s="6"/>
      <c r="EF88" s="6"/>
      <c r="EG88" s="6"/>
      <c r="EH88" s="6"/>
      <c r="EI88" s="6"/>
      <c r="EJ88" s="6"/>
      <c r="EK88" s="6"/>
      <c r="EL88" s="6"/>
      <c r="EM88" s="6"/>
      <c r="EN88" s="6"/>
      <c r="EO88" s="6"/>
      <c r="EP88" s="6"/>
      <c r="EQ88" s="6"/>
      <c r="ER88" s="6"/>
      <c r="ES88" s="6"/>
      <c r="ET88" s="6"/>
      <c r="EU88" s="6"/>
      <c r="EV88" s="6"/>
      <c r="EW88" s="6"/>
      <c r="EX88" s="6"/>
      <c r="EY88" s="6"/>
      <c r="EZ88" s="6"/>
      <c r="FA88" s="6"/>
      <c r="FB88" s="6"/>
      <c r="FC88" s="6"/>
      <c r="FD88" s="6"/>
      <c r="FE88" s="6"/>
      <c r="FF88" s="6"/>
      <c r="FG88" s="6"/>
      <c r="FH88" s="6"/>
      <c r="FI88" s="6"/>
      <c r="FJ88" s="6"/>
      <c r="FK88" s="6"/>
      <c r="FL88" s="6"/>
      <c r="FM88" s="6"/>
    </row>
    <row r="89" spans="1:169" x14ac:dyDescent="0.3">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c r="AI89" s="6"/>
      <c r="AJ89" s="6"/>
      <c r="AK89" s="6"/>
      <c r="AL89" s="6"/>
      <c r="AM89" s="6"/>
      <c r="AN89" s="6"/>
      <c r="AO89" s="6"/>
      <c r="AP89" s="6"/>
      <c r="AQ89" s="6"/>
      <c r="AR89" s="6"/>
      <c r="AS89" s="6"/>
      <c r="AT89" s="6"/>
      <c r="AU89" s="6"/>
      <c r="AV89" s="6"/>
      <c r="AW89" s="6"/>
      <c r="AX89" s="6"/>
      <c r="AY89" s="6"/>
      <c r="AZ89" s="6"/>
      <c r="BA89" s="6"/>
      <c r="BB89" s="6"/>
      <c r="BC89" s="6"/>
      <c r="BD89" s="6"/>
      <c r="BE89" s="6"/>
      <c r="BF89" s="6"/>
      <c r="BG89" s="6"/>
      <c r="BH89" s="6"/>
      <c r="BI89" s="6"/>
      <c r="BJ89" s="6"/>
      <c r="BK89" s="6"/>
      <c r="BL89" s="6"/>
      <c r="BM89" s="6"/>
      <c r="BN89" s="6"/>
      <c r="BO89" s="6"/>
      <c r="BP89" s="6"/>
      <c r="BQ89" s="6"/>
      <c r="BR89" s="6"/>
      <c r="BS89" s="6"/>
      <c r="BT89" s="6"/>
      <c r="BU89" s="6"/>
      <c r="BV89" s="6"/>
      <c r="BW89" s="6"/>
      <c r="BX89" s="6"/>
      <c r="BY89" s="6"/>
      <c r="BZ89" s="6"/>
      <c r="CA89" s="6"/>
      <c r="CB89" s="6"/>
      <c r="CC89" s="6"/>
      <c r="CD89" s="6"/>
      <c r="CE89" s="6"/>
      <c r="CF89" s="6"/>
      <c r="CG89" s="6"/>
      <c r="CH89" s="6"/>
      <c r="CI89" s="6"/>
      <c r="CJ89" s="6"/>
      <c r="CK89" s="6"/>
      <c r="CL89" s="6"/>
      <c r="CM89" s="6"/>
      <c r="CN89" s="6"/>
      <c r="CO89" s="6"/>
      <c r="CP89" s="6"/>
      <c r="CQ89" s="6"/>
      <c r="CR89" s="6"/>
      <c r="CS89" s="6"/>
      <c r="CT89" s="6"/>
      <c r="CU89" s="6"/>
      <c r="CV89" s="6"/>
      <c r="CW89" s="6"/>
      <c r="CX89" s="6"/>
      <c r="CY89" s="6"/>
      <c r="CZ89" s="6"/>
      <c r="DA89" s="6"/>
      <c r="DB89" s="6"/>
      <c r="DC89" s="6"/>
      <c r="DD89" s="6"/>
      <c r="DE89" s="6"/>
      <c r="DF89" s="6"/>
      <c r="DG89" s="6"/>
      <c r="DH89" s="6"/>
      <c r="DI89" s="6"/>
      <c r="DJ89" s="6"/>
      <c r="DK89" s="6"/>
      <c r="DL89" s="6"/>
      <c r="DM89" s="6"/>
      <c r="DN89" s="6"/>
      <c r="DO89" s="6"/>
      <c r="DP89" s="6"/>
      <c r="DQ89" s="6"/>
      <c r="DR89" s="6"/>
      <c r="DS89" s="6"/>
      <c r="DT89" s="6"/>
      <c r="DU89" s="6"/>
      <c r="DV89" s="6"/>
      <c r="DW89" s="6"/>
      <c r="DX89" s="6"/>
      <c r="DY89" s="6"/>
      <c r="DZ89" s="6"/>
      <c r="EA89" s="6"/>
      <c r="EB89" s="6"/>
      <c r="EC89" s="6"/>
      <c r="ED89" s="6"/>
      <c r="EE89" s="6"/>
      <c r="EF89" s="6"/>
      <c r="EG89" s="6"/>
      <c r="EH89" s="6"/>
      <c r="EI89" s="6"/>
      <c r="EJ89" s="6"/>
      <c r="EK89" s="6"/>
      <c r="EL89" s="6"/>
      <c r="EM89" s="6"/>
      <c r="EN89" s="6"/>
      <c r="EO89" s="6"/>
      <c r="EP89" s="6"/>
      <c r="EQ89" s="6"/>
      <c r="ER89" s="6"/>
      <c r="ES89" s="6"/>
      <c r="ET89" s="6"/>
      <c r="EU89" s="6"/>
      <c r="EV89" s="6"/>
      <c r="EW89" s="6"/>
      <c r="EX89" s="6"/>
      <c r="EY89" s="6"/>
      <c r="EZ89" s="6"/>
      <c r="FA89" s="6"/>
      <c r="FB89" s="6"/>
      <c r="FC89" s="6"/>
      <c r="FD89" s="6"/>
      <c r="FE89" s="6"/>
      <c r="FF89" s="6"/>
      <c r="FG89" s="6"/>
      <c r="FH89" s="6"/>
      <c r="FI89" s="6"/>
      <c r="FJ89" s="6"/>
      <c r="FK89" s="6"/>
      <c r="FL89" s="6"/>
      <c r="FM89" s="6"/>
    </row>
  </sheetData>
  <mergeCells count="9">
    <mergeCell ref="A1:X2"/>
    <mergeCell ref="A4:B4"/>
    <mergeCell ref="A5:B5"/>
    <mergeCell ref="D4:E4"/>
    <mergeCell ref="G4:H4"/>
    <mergeCell ref="J4:K4"/>
    <mergeCell ref="J5:K5"/>
    <mergeCell ref="M4:N4"/>
    <mergeCell ref="P4:Q4"/>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44FE2B41-C9C0-45C3-8C64-849B8D6B766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Raw Data</vt:lpstr>
      <vt:lpstr>KPI</vt:lpstr>
      <vt:lpstr>Graphs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Aarti Kharat.. GSMCOE</dc:creator>
  <cp:lastModifiedBy>Aarti Kharat.. GSMCOE</cp:lastModifiedBy>
  <dcterms:created xsi:type="dcterms:W3CDTF">2026-09-08T06:41:46Z</dcterms:created>
  <dcterms:modified xsi:type="dcterms:W3CDTF">2026-09-17T05:40:51Z</dcterms:modified>
</cp:coreProperties>
</file>